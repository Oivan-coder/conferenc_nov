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ttings" sheetId="2" r:id="rId6"/>
    <sheet state="visible" name="Accounts" sheetId="3" r:id="rId7"/>
    <sheet state="visible" name="IncomeSchedule" sheetId="4" r:id="rId8"/>
    <sheet state="visible" name="BudgetGroups" sheetId="5" r:id="rId9"/>
    <sheet state="visible" name="Categories" sheetId="6" r:id="rId10"/>
    <sheet state="visible" name="Obligations" sheetId="7" r:id="rId11"/>
    <sheet state="visible" name="Goals" sheetId="8" r:id="rId12"/>
    <sheet state="visible" name="Transactions" sheetId="9" r:id="rId13"/>
    <sheet state="visible" name="MonthlyReview" sheetId="10" r:id="rId14"/>
    <sheet state="visible" name="NormalizationRules" sheetId="11" r:id="rId15"/>
    <sheet state="visible" name="Dashboard" sheetId="12" r:id="rId16"/>
    <sheet state="visible" name="Checks" sheetId="13" r:id="rId17"/>
  </sheets>
  <definedNames/>
  <calcPr/>
</workbook>
</file>

<file path=xl/sharedStrings.xml><?xml version="1.0" encoding="utf-8"?>
<sst xmlns="http://schemas.openxmlformats.org/spreadsheetml/2006/main" count="784" uniqueCount="382">
  <si>
    <t>Atlas Finance v3 database</t>
  </si>
  <si>
    <t>Назначение</t>
  </si>
  <si>
    <t>База для Google Sheets и будущего веб-приложения</t>
  </si>
  <si>
    <t>Главный источник фактов</t>
  </si>
  <si>
    <t>Transactions</t>
  </si>
  <si>
    <t>Текущие операции сохранены</t>
  </si>
  <si>
    <t>Фактический остаток cashflow</t>
  </si>
  <si>
    <t>1 580 ₽ на ВТБ до 15-го</t>
  </si>
  <si>
    <t>Инвестиционный фонд</t>
  </si>
  <si>
    <t>153 000 ₽, не входит в дневной лимит</t>
  </si>
  <si>
    <t>Выплаты</t>
  </si>
  <si>
    <t>зарплата 15-го 185 000 ₽, аванс 30-го 15 000 ₽</t>
  </si>
  <si>
    <t>UX-идея</t>
  </si>
  <si>
    <t>MonthlyReview хранит вопросы месяца: родителям, ЖКХ, инвестиции, цели</t>
  </si>
  <si>
    <t>Импорт в Google Sheets</t>
  </si>
  <si>
    <t>Загрузить этот xlsx как Google Sheets, потом подключить Apps Script API</t>
  </si>
  <si>
    <t>Правило</t>
  </si>
  <si>
    <t>Не редактировать id вручную после подключения приложения</t>
  </si>
  <si>
    <t>Версия</t>
  </si>
  <si>
    <t>v3 draft, 2026-06-12</t>
  </si>
  <si>
    <t>key</t>
  </si>
  <si>
    <t>value</t>
  </si>
  <si>
    <t>type</t>
  </si>
  <si>
    <t>notes</t>
  </si>
  <si>
    <t>currency</t>
  </si>
  <si>
    <t>RUB</t>
  </si>
  <si>
    <t>string</t>
  </si>
  <si>
    <t>Основная валюта</t>
  </si>
  <si>
    <t>as_of_date</t>
  </si>
  <si>
    <t>date</t>
  </si>
  <si>
    <t>Дата сборки базы</t>
  </si>
  <si>
    <t>salary_day</t>
  </si>
  <si>
    <t>number</t>
  </si>
  <si>
    <t>День основной зарплаты</t>
  </si>
  <si>
    <t>advance_day</t>
  </si>
  <si>
    <t>День аванса</t>
  </si>
  <si>
    <t>salary_amount</t>
  </si>
  <si>
    <t>money</t>
  </si>
  <si>
    <t>Плановая зарплата</t>
  </si>
  <si>
    <t>advance_amount</t>
  </si>
  <si>
    <t>Плановый аванс</t>
  </si>
  <si>
    <t>payday_move_rule</t>
  </si>
  <si>
    <t>previous-business-day</t>
  </si>
  <si>
    <t>Если выходной, перенос на предыдущий рабочий день</t>
  </si>
  <si>
    <t>current_cycle_start</t>
  </si>
  <si>
    <t>Старт текущего цикла</t>
  </si>
  <si>
    <t>current_cycle_end</t>
  </si>
  <si>
    <t>Следующее поступление</t>
  </si>
  <si>
    <t>timezone</t>
  </si>
  <si>
    <t>Europe/Moscow</t>
  </si>
  <si>
    <t>Часовой пояс пользователя</t>
  </si>
  <si>
    <t>account_id</t>
  </si>
  <si>
    <t>name</t>
  </si>
  <si>
    <t>account_type</t>
  </si>
  <si>
    <t>current_balance</t>
  </si>
  <si>
    <t>include_in_cashflow</t>
  </si>
  <si>
    <t>include_in_net_worth</t>
  </si>
  <si>
    <t>vtb_main</t>
  </si>
  <si>
    <t>ВТБ</t>
  </si>
  <si>
    <t>checking</t>
  </si>
  <si>
    <t>Фактический остаток до 15-го числа</t>
  </si>
  <si>
    <t>brokerage</t>
  </si>
  <si>
    <t>Фонд в акциях/облигациях</t>
  </si>
  <si>
    <t>investment</t>
  </si>
  <si>
    <t>Не учитывать в дневном лимите, но держать для net worth</t>
  </si>
  <si>
    <t>cash</t>
  </si>
  <si>
    <t>Наличные</t>
  </si>
  <si>
    <t>Запасная строка</t>
  </si>
  <si>
    <t>income_id</t>
  </si>
  <si>
    <t>day_of_month</t>
  </si>
  <si>
    <t>amount</t>
  </si>
  <si>
    <t>move_rule</t>
  </si>
  <si>
    <t>default_account_id</t>
  </si>
  <si>
    <t>active</t>
  </si>
  <si>
    <t>salary</t>
  </si>
  <si>
    <t>Зарплата</t>
  </si>
  <si>
    <t>Основная зарплата</t>
  </si>
  <si>
    <t>advance</t>
  </si>
  <si>
    <t>Аванс</t>
  </si>
  <si>
    <t>budget_group_id</t>
  </si>
  <si>
    <t>group_type</t>
  </si>
  <si>
    <t>monthly_limit</t>
  </si>
  <si>
    <t>include_in_daily_limit</t>
  </si>
  <si>
    <t>food_home</t>
  </si>
  <si>
    <t>Еда дома</t>
  </si>
  <si>
    <t>variable</t>
  </si>
  <si>
    <t>из текущего Ref</t>
  </si>
  <si>
    <t>food_out</t>
  </si>
  <si>
    <t>Еда вне дома и досуг</t>
  </si>
  <si>
    <t>разделено на рабочую еду и бар/досуг</t>
  </si>
  <si>
    <t>transport_fuel_tolls</t>
  </si>
  <si>
    <t>Бензин и платные дороги</t>
  </si>
  <si>
    <t>transport</t>
  </si>
  <si>
    <t>car_service</t>
  </si>
  <si>
    <t>Текущие расходы авто</t>
  </si>
  <si>
    <t>добавлено из текущей фактической структуры</t>
  </si>
  <si>
    <t>communications</t>
  </si>
  <si>
    <t>Связь/подписки</t>
  </si>
  <si>
    <t>fixed</t>
  </si>
  <si>
    <t>shopping_hobby</t>
  </si>
  <si>
    <t>Одежда/техника/хобби/подарки</t>
  </si>
  <si>
    <t>people_transfers</t>
  </si>
  <si>
    <t>Переводы людям</t>
  </si>
  <si>
    <t>стартовый лимит из текущего приложения</t>
  </si>
  <si>
    <t>health</t>
  </si>
  <si>
    <t>Здоровье</t>
  </si>
  <si>
    <t>cat</t>
  </si>
  <si>
    <t>Кошка</t>
  </si>
  <si>
    <t>family_support</t>
  </si>
  <si>
    <t>Родителям</t>
  </si>
  <si>
    <t>obligation</t>
  </si>
  <si>
    <t>baseline, каждый месяц подтверждать руками</t>
  </si>
  <si>
    <t>housing</t>
  </si>
  <si>
    <t>ЖКХ/дом/парковка</t>
  </si>
  <si>
    <t>goals</t>
  </si>
  <si>
    <t>Накопления</t>
  </si>
  <si>
    <t>saving</t>
  </si>
  <si>
    <t>НЗ, часы, машина, подушка, отпуск</t>
  </si>
  <si>
    <t>investments</t>
  </si>
  <si>
    <t>Инвестиции</t>
  </si>
  <si>
    <t>без жесткого лимита, не учитывать в свободных деньгах</t>
  </si>
  <si>
    <t>month_reserve</t>
  </si>
  <si>
    <t>Резерв месяца</t>
  </si>
  <si>
    <t>reserve</t>
  </si>
  <si>
    <t>other</t>
  </si>
  <si>
    <t>Прочее</t>
  </si>
  <si>
    <t>только для временной классификации</t>
  </si>
  <si>
    <t>category_id</t>
  </si>
  <si>
    <t>record_type</t>
  </si>
  <si>
    <t>purpose</t>
  </si>
  <si>
    <t>food_groceries</t>
  </si>
  <si>
    <t>expense</t>
  </si>
  <si>
    <t>Продукты для дома</t>
  </si>
  <si>
    <t>Супермаркеты, продукты домой</t>
  </si>
  <si>
    <t>food_workday</t>
  </si>
  <si>
    <t>Еда вне дома: завтрак/обед</t>
  </si>
  <si>
    <t>Питание в течение дня</t>
  </si>
  <si>
    <t>Мак, обед, кофейня, ВкусВилл на работе</t>
  </si>
  <si>
    <t>leisure_bar</t>
  </si>
  <si>
    <t>Досуг: бар/кафе/друзья</t>
  </si>
  <si>
    <t>Социальный досуг</t>
  </si>
  <si>
    <t>Бар, алкоголь, посиделки с друзьями</t>
  </si>
  <si>
    <t>transport_fuel</t>
  </si>
  <si>
    <t>Бензин</t>
  </si>
  <si>
    <t>Топливо</t>
  </si>
  <si>
    <t>АЗС и заправки</t>
  </si>
  <si>
    <t>transport_tolls</t>
  </si>
  <si>
    <t>Платные дороги</t>
  </si>
  <si>
    <t>Платка, транспондер, дороги</t>
  </si>
  <si>
    <t>transport_car_service</t>
  </si>
  <si>
    <t>Авто: обслуживание и услуги</t>
  </si>
  <si>
    <t>Текущие авторасходы</t>
  </si>
  <si>
    <t>Госуслуги, сервис, мойка, мелкий ремонт</t>
  </si>
  <si>
    <t>Связь и подписки</t>
  </si>
  <si>
    <t>Связь/сервисы</t>
  </si>
  <si>
    <t>Телефон, цифровой контент, подписки</t>
  </si>
  <si>
    <t>parking_home</t>
  </si>
  <si>
    <t>Домашняя парковка</t>
  </si>
  <si>
    <t>Дом/парковка</t>
  </si>
  <si>
    <t>Парковочное место дома, если оплачивается отдельно</t>
  </si>
  <si>
    <t>Одежда/техника/хобби</t>
  </si>
  <si>
    <t>Покупки не первой необходимости</t>
  </si>
  <si>
    <t>Одежда, техника, хобби, услуги</t>
  </si>
  <si>
    <t>gifts_social</t>
  </si>
  <si>
    <t>Подарки и сборы</t>
  </si>
  <si>
    <t>Социальные расходы</t>
  </si>
  <si>
    <t>ДР, сборы на работе, подарки</t>
  </si>
  <si>
    <t>Переводы</t>
  </si>
  <si>
    <t>Разовые переводы людям</t>
  </si>
  <si>
    <t>Медицина</t>
  </si>
  <si>
    <t>Стоматолог, врачи, лекарства</t>
  </si>
  <si>
    <t>Питомец</t>
  </si>
  <si>
    <t>Корм, наполнитель, ветеринарка</t>
  </si>
  <si>
    <t>Гибкое обязательство</t>
  </si>
  <si>
    <t>Сумму лучше подтверждать каждый месяц</t>
  </si>
  <si>
    <t>ЖКХ/дом</t>
  </si>
  <si>
    <t>ЖКХ, дом, иногда парковочное место</t>
  </si>
  <si>
    <t>Акции/облигации</t>
  </si>
  <si>
    <t>Пополнения брокерского счета не считать расходом на жизнь</t>
  </si>
  <si>
    <t>goal_watches</t>
  </si>
  <si>
    <t>Цель: часы</t>
  </si>
  <si>
    <t>saving_goal</t>
  </si>
  <si>
    <t>Накопление</t>
  </si>
  <si>
    <t>Цель 30 000 ₽, комфортный план 10 000 ₽/мес</t>
  </si>
  <si>
    <t>goal_car_bodywork</t>
  </si>
  <si>
    <t>Цель: арки + бампер</t>
  </si>
  <si>
    <t>Цель 120 000 ₽</t>
  </si>
  <si>
    <t>goal_nz</t>
  </si>
  <si>
    <t>НЗ</t>
  </si>
  <si>
    <t>Короткий неприкасаемый запас</t>
  </si>
  <si>
    <t>goal_emergency_fund</t>
  </si>
  <si>
    <t>Подушка безопасности</t>
  </si>
  <si>
    <t>Большая подушка 1 000 000 ₽</t>
  </si>
  <si>
    <t>goal_vacation</t>
  </si>
  <si>
    <t>Отпуск</t>
  </si>
  <si>
    <t>Гибкое накопление</t>
  </si>
  <si>
    <t>Без жесткого лимита пока отпуск не запланирован</t>
  </si>
  <si>
    <t>Резерв</t>
  </si>
  <si>
    <t>Непредвиденные траты месяца</t>
  </si>
  <si>
    <t>Временная категория для операций без классификации</t>
  </si>
  <si>
    <t>obligation_id</t>
  </si>
  <si>
    <t>baseline_amount</t>
  </si>
  <si>
    <t>due_day</t>
  </si>
  <si>
    <t>ask_monthly</t>
  </si>
  <si>
    <t>parents</t>
  </si>
  <si>
    <t>Сумма плавает: приложение должно спрашивать каждый месяц</t>
  </si>
  <si>
    <t>ЖКХ плюс парковочное место, если попадает в месяц</t>
  </si>
  <si>
    <t>goal_id</t>
  </si>
  <si>
    <t>target_amount</t>
  </si>
  <si>
    <t>current_amount</t>
  </si>
  <si>
    <t>monthly_plan</t>
  </si>
  <si>
    <t>priority</t>
  </si>
  <si>
    <t>flexible_target</t>
  </si>
  <si>
    <t>watches</t>
  </si>
  <si>
    <t>Часы</t>
  </si>
  <si>
    <t>План уменьшен до 10 000 ₽/мес</t>
  </si>
  <si>
    <t>car_bodywork</t>
  </si>
  <si>
    <t>Арки + бампер</t>
  </si>
  <si>
    <t>Реальная цель</t>
  </si>
  <si>
    <t>nz</t>
  </si>
  <si>
    <t>emergency_fund</t>
  </si>
  <si>
    <t>Большая подушка</t>
  </si>
  <si>
    <t>vacation</t>
  </si>
  <si>
    <t>Без жесткого лимита, можно откладывать когда удобно</t>
  </si>
  <si>
    <t>Учитывать как актив, не как расход на жизнь</t>
  </si>
  <si>
    <t>transaction_id</t>
  </si>
  <si>
    <t>original_category</t>
  </si>
  <si>
    <t>description</t>
  </si>
  <si>
    <t>review_needed</t>
  </si>
  <si>
    <t>source</t>
  </si>
  <si>
    <t>source_row</t>
  </si>
  <si>
    <t>created_at</t>
  </si>
  <si>
    <t>updated_at</t>
  </si>
  <si>
    <t>tx-202606-0001</t>
  </si>
  <si>
    <t>Другие услуги</t>
  </si>
  <si>
    <t>Atlas_Finance_v2_moneyflow.xlsx</t>
  </si>
  <si>
    <t>tx-202606-0002</t>
  </si>
  <si>
    <t>АЗС</t>
  </si>
  <si>
    <t>tx-202606-0003</t>
  </si>
  <si>
    <t>Супермаркеты</t>
  </si>
  <si>
    <t>tx-202606-0004</t>
  </si>
  <si>
    <t>Кафе/бар/доставка</t>
  </si>
  <si>
    <t>Кафе и рестораны</t>
  </si>
  <si>
    <t>Неоднозначная старая операция кафе: подтвердить еда это или досуг</t>
  </si>
  <si>
    <t>tx-202606-0005</t>
  </si>
  <si>
    <t>Связь/подписки/парковка</t>
  </si>
  <si>
    <t>Цифровой контент</t>
  </si>
  <si>
    <t>tx-202606-0006</t>
  </si>
  <si>
    <t>Алкоголь</t>
  </si>
  <si>
    <t>tx-202606-0007</t>
  </si>
  <si>
    <t>Перевод людям</t>
  </si>
  <si>
    <t>tx-202606-0008</t>
  </si>
  <si>
    <t>Сотовая связь</t>
  </si>
  <si>
    <t>tx-202606-0009</t>
  </si>
  <si>
    <t>Государственные услуги</t>
  </si>
  <si>
    <t>tx-202606-0010</t>
  </si>
  <si>
    <t>Автоуслуги</t>
  </si>
  <si>
    <t>tx-202606-0011</t>
  </si>
  <si>
    <t>tx-202606-0012</t>
  </si>
  <si>
    <t>Мак</t>
  </si>
  <si>
    <t>tx-202606-0013</t>
  </si>
  <si>
    <t xml:space="preserve">Вкус вилл на работе </t>
  </si>
  <si>
    <t>tx-202606-0014</t>
  </si>
  <si>
    <t>Обед кофепорт</t>
  </si>
  <si>
    <t>tx-202606-0015</t>
  </si>
  <si>
    <t>Платка</t>
  </si>
  <si>
    <t>tx-202606-0016</t>
  </si>
  <si>
    <t>tx-202606-0017</t>
  </si>
  <si>
    <t>Посидел с ЛИ</t>
  </si>
  <si>
    <t>tx-202606-0018</t>
  </si>
  <si>
    <t xml:space="preserve">Обед </t>
  </si>
  <si>
    <t>tx-202606-0019</t>
  </si>
  <si>
    <t>tx-202606-0020</t>
  </si>
  <si>
    <t>Вв обед</t>
  </si>
  <si>
    <t>tx-202606-0021</t>
  </si>
  <si>
    <t>tx-202606-0022</t>
  </si>
  <si>
    <t>tx-202606-0023</t>
  </si>
  <si>
    <t>платка</t>
  </si>
  <si>
    <t>tx-202606-0024</t>
  </si>
  <si>
    <t>завтрак от 11.06</t>
  </si>
  <si>
    <t>tx-202606-0025</t>
  </si>
  <si>
    <t>tx-202606-0026</t>
  </si>
  <si>
    <t>на др на работе</t>
  </si>
  <si>
    <t>53506070-e9b8-4a46-b72a-993eb9066e0f</t>
  </si>
  <si>
    <t>web-app</t>
  </si>
  <si>
    <t>a6a8ad27-e594-4e15-a162-970c88e683fc</t>
  </si>
  <si>
    <t>48ab018b-bd55-4c41-9b3a-05f9fce97a71</t>
  </si>
  <si>
    <t>period</t>
  </si>
  <si>
    <t>item_id</t>
  </si>
  <si>
    <t>prompt</t>
  </si>
  <si>
    <t>item_type</t>
  </si>
  <si>
    <t>target_id</t>
  </si>
  <si>
    <t>expected_amount</t>
  </si>
  <si>
    <t>actual_amount</t>
  </si>
  <si>
    <t>status</t>
  </si>
  <si>
    <t>2026-06</t>
  </si>
  <si>
    <t>reconcile_vtb</t>
  </si>
  <si>
    <t>Сколько денег сейчас на ВТБ?</t>
  </si>
  <si>
    <t>account</t>
  </si>
  <si>
    <t>done</t>
  </si>
  <si>
    <t>После сверки обновить Accounts.current_balance</t>
  </si>
  <si>
    <t>parents_paid</t>
  </si>
  <si>
    <t>Сколько в этом месяце скинули родителям?</t>
  </si>
  <si>
    <t>open</t>
  </si>
  <si>
    <t>Если сумма отличается от 30 000, вводить фактическую</t>
  </si>
  <si>
    <t>housing_paid</t>
  </si>
  <si>
    <t>Сколько ушло на ЖКХ/дом/парковку?</t>
  </si>
  <si>
    <t>Можно включать парковочное место дома</t>
  </si>
  <si>
    <t>invested</t>
  </si>
  <si>
    <t>Сколько положили в акции/облигации?</t>
  </si>
  <si>
    <t>Пополнение брокерского счета, не обычный расход</t>
  </si>
  <si>
    <t>watches_saved</t>
  </si>
  <si>
    <t>Сколько отложили на часы?</t>
  </si>
  <si>
    <t>goal</t>
  </si>
  <si>
    <t>Мягкий план 10 000 ₽</t>
  </si>
  <si>
    <t>car_bodywork_saved</t>
  </si>
  <si>
    <t>Сколько отложили на арки + бампер?</t>
  </si>
  <si>
    <t>nz_saved</t>
  </si>
  <si>
    <t>Сколько отложили в НЗ?</t>
  </si>
  <si>
    <t>Короткий запас</t>
  </si>
  <si>
    <t>vacation_saved</t>
  </si>
  <si>
    <t>Было ли что-то отложено на отпуск?</t>
  </si>
  <si>
    <t>optional</t>
  </si>
  <si>
    <t>Без жесткого лимита</t>
  </si>
  <si>
    <t>description_regex</t>
  </si>
  <si>
    <t>confidence</t>
  </si>
  <si>
    <t>мак|обед|завтрак|вкус вилл|кофепорт|вв обед</t>
  </si>
  <si>
    <t>Рабочая еда/быстрый прием пищи</t>
  </si>
  <si>
    <t>алкоголь|посидел|бар</t>
  </si>
  <si>
    <t>Досуг и бар</t>
  </si>
  <si>
    <t>Нужна ручная проверка, если нет описания</t>
  </si>
  <si>
    <t>платк</t>
  </si>
  <si>
    <t>Платные дороги отдельно от бензина</t>
  </si>
  <si>
    <t>По умолчанию бензин</t>
  </si>
  <si>
    <t>азс</t>
  </si>
  <si>
    <t>АЗС распознать как бензин</t>
  </si>
  <si>
    <t>Автоуслуги и госуслуги</t>
  </si>
  <si>
    <t>Продукты домой</t>
  </si>
  <si>
    <t>Связь/подписки пока вместе</t>
  </si>
  <si>
    <t>др|подар</t>
  </si>
  <si>
    <t>Подарки/сборы отделить от покупок</t>
  </si>
  <si>
    <t>Покупки и хобби</t>
  </si>
  <si>
    <t>Atlas Finance — контрольные показатели базы</t>
  </si>
  <si>
    <t>Показатель</t>
  </si>
  <si>
    <t>Значение</t>
  </si>
  <si>
    <t>Комментарий</t>
  </si>
  <si>
    <t>Дата базы</t>
  </si>
  <si>
    <t>Settings.as_of_date</t>
  </si>
  <si>
    <t>Деньги для жизни</t>
  </si>
  <si>
    <t>Только Accounts.include_in_cashflow = TRUE</t>
  </si>
  <si>
    <t>Инвестиции отдельно</t>
  </si>
  <si>
    <t>Акции/облигации не участвуют в дневном лимите</t>
  </si>
  <si>
    <t>Потрачено в текущем цикле</t>
  </si>
  <si>
    <t>Transactions между current_cycle_start и current_cycle_end</t>
  </si>
  <si>
    <t>Дней до 15-го</t>
  </si>
  <si>
    <t>Для текущей ситуации до зарплаты</t>
  </si>
  <si>
    <t>Можно тратить в день</t>
  </si>
  <si>
    <t>Фактический cashflow / дней до поступления</t>
  </si>
  <si>
    <t>Операций сохранено</t>
  </si>
  <si>
    <t>Количество строк Transactions</t>
  </si>
  <si>
    <t>Нужно проверить категорию</t>
  </si>
  <si>
    <t>Старые неоднозначные кафе-операции</t>
  </si>
  <si>
    <t>Открытых вопросов месяца</t>
  </si>
  <si>
    <t>MonthlyReview.status = open</t>
  </si>
  <si>
    <t>check_id</t>
  </si>
  <si>
    <t>actual</t>
  </si>
  <si>
    <t>expected</t>
  </si>
  <si>
    <t>transaction_count</t>
  </si>
  <si>
    <t>Все старые операции должны быть перенесены</t>
  </si>
  <si>
    <t>transaction_amount_total</t>
  </si>
  <si>
    <t>Сумма исходных операций</t>
  </si>
  <si>
    <t>missing_transaction_id</t>
  </si>
  <si>
    <t>Не должно быть пустых id</t>
  </si>
  <si>
    <t>cashflow_balance</t>
  </si>
  <si>
    <t>Фактический остаток на ВТБ</t>
  </si>
  <si>
    <t>investment_balance</t>
  </si>
  <si>
    <t>Акции/облигации отдельно</t>
  </si>
  <si>
    <t>open_monthly_questions</t>
  </si>
  <si>
    <t>Ожидаемо есть вопросы для ручного ввода</t>
  </si>
  <si>
    <t>review_needed_transactions</t>
  </si>
  <si>
    <t>INFO</t>
  </si>
  <si>
    <t>Не ошибка: операции, где нужно подтвердить еду/досуг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</si>
</sst>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#,##0 ₽;[Red]-#,##0 ₽;-"/>
    <numFmt numFmtId="166" formatCode="yyyy-mm-dd hh:mm"/>
    <numFmt numFmtId="167" formatCode="m/d/yyyy h:mm:ss"/>
  </numFmts>
  <fonts count="7">
    <font>
      <sz val="11.0"/>
      <color rgb="FF000000"/>
      <name val="Carlito"/>
      <scheme val="minor"/>
    </font>
    <font>
      <b/>
      <sz val="18.0"/>
      <color rgb="FFFFFFFF"/>
      <name val="Carlito"/>
    </font>
    <font>
      <b/>
      <sz val="11.0"/>
      <color theme="1"/>
      <name val="Carlito"/>
    </font>
    <font>
      <color theme="1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sz val="16.0"/>
      <color rgb="FFFFFFFF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E5E7EB"/>
        <bgColor rgb="FFE5E7EB"/>
      </patternFill>
    </fill>
  </fills>
  <borders count="9">
    <border/>
    <border>
      <left style="thin">
        <color rgb="FFD1D5DB"/>
      </left>
      <top style="thin">
        <color rgb="FFD1D5DB"/>
      </top>
    </border>
    <border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FFD1D5DB"/>
      </left>
    </border>
    <border>
      <right style="thin">
        <color rgb="FFD1D5DB"/>
      </right>
    </border>
    <border>
      <left style="thin">
        <color rgb="FFD1D5DB"/>
      </left>
      <bottom style="thin">
        <color rgb="FFD1D5DB"/>
      </bottom>
    </border>
    <border>
      <bottom style="thin">
        <color rgb="FFD1D5DB"/>
      </bottom>
    </border>
    <border>
      <right style="thin">
        <color rgb="FFD1D5DB"/>
      </right>
      <bottom style="thin">
        <color rgb="FFD1D5DB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0" fontId="3" numFmtId="0" xfId="0" applyFont="1"/>
    <xf borderId="1" fillId="2" fontId="4" numFmtId="0" xfId="0" applyAlignment="1" applyBorder="1" applyFont="1">
      <alignment horizontal="center" shrinkToFit="0" vertical="top" wrapText="1"/>
    </xf>
    <xf borderId="2" fillId="2" fontId="4" numFmtId="0" xfId="0" applyAlignment="1" applyBorder="1" applyFont="1">
      <alignment horizontal="center" shrinkToFit="0" vertical="top" wrapText="1"/>
    </xf>
    <xf borderId="3" fillId="2" fontId="4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5" fillId="0" fontId="5" numFmtId="0" xfId="0" applyAlignment="1" applyBorder="1" applyFont="1">
      <alignment shrinkToFit="0" vertical="top" wrapText="1"/>
    </xf>
    <xf borderId="0" fillId="0" fontId="5" numFmtId="164" xfId="0" applyAlignment="1" applyFont="1" applyNumberFormat="1">
      <alignment shrinkToFit="0" vertical="top" wrapText="1"/>
    </xf>
    <xf borderId="0" fillId="0" fontId="5" numFmtId="165" xfId="0" applyAlignment="1" applyFont="1" applyNumberFormat="1">
      <alignment shrinkToFit="0" vertical="top" wrapText="1"/>
    </xf>
    <xf borderId="6" fillId="0" fontId="5" numFmtId="0" xfId="0" applyAlignment="1" applyBorder="1" applyFont="1">
      <alignment shrinkToFit="0" vertical="top" wrapText="1"/>
    </xf>
    <xf borderId="7" fillId="0" fontId="5" numFmtId="0" xfId="0" applyAlignment="1" applyBorder="1" applyFont="1">
      <alignment shrinkToFit="0" vertical="top" wrapText="1"/>
    </xf>
    <xf borderId="8" fillId="0" fontId="5" numFmtId="0" xfId="0" applyAlignment="1" applyBorder="1" applyFont="1">
      <alignment shrinkToFit="0" vertical="top" wrapText="1"/>
    </xf>
    <xf borderId="0" fillId="0" fontId="5" numFmtId="165" xfId="0" applyAlignment="1" applyFont="1" applyNumberFormat="1">
      <alignment readingOrder="0" shrinkToFit="0" vertical="top" wrapText="1"/>
    </xf>
    <xf borderId="0" fillId="0" fontId="5" numFmtId="166" xfId="0" applyAlignment="1" applyFont="1" applyNumberFormat="1">
      <alignment readingOrder="0" shrinkToFit="0" vertical="top" wrapText="1"/>
    </xf>
    <xf borderId="0" fillId="0" fontId="5" numFmtId="166" xfId="0" applyAlignment="1" applyFont="1" applyNumberFormat="1">
      <alignment shrinkToFit="0" vertical="top" wrapText="1"/>
    </xf>
    <xf borderId="7" fillId="0" fontId="5" numFmtId="165" xfId="0" applyAlignment="1" applyBorder="1" applyFont="1" applyNumberFormat="1">
      <alignment shrinkToFit="0" vertical="top" wrapText="1"/>
    </xf>
    <xf borderId="7" fillId="0" fontId="5" numFmtId="166" xfId="0" applyAlignment="1" applyBorder="1" applyFont="1" applyNumberFormat="1">
      <alignment shrinkToFit="0" vertical="top" wrapText="1"/>
    </xf>
    <xf borderId="0" fillId="0" fontId="5" numFmtId="3" xfId="0" applyAlignment="1" applyFont="1" applyNumberFormat="1">
      <alignment shrinkToFit="0" vertical="top" wrapText="1"/>
    </xf>
    <xf borderId="7" fillId="0" fontId="5" numFmtId="3" xfId="0" applyAlignment="1" applyBorder="1" applyFont="1" applyNumberFormat="1">
      <alignment shrinkToFit="0" vertical="top" wrapText="1"/>
    </xf>
    <xf borderId="0" fillId="0" fontId="3" numFmtId="0" xfId="0" applyAlignment="1" applyFont="1">
      <alignment readingOrder="0"/>
    </xf>
    <xf borderId="0" fillId="0" fontId="3" numFmtId="167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2" fontId="6" numFmtId="0" xfId="0" applyFont="1"/>
    <xf borderId="0" fillId="2" fontId="4" numFmtId="0" xfId="0" applyFont="1"/>
    <xf borderId="0" fillId="0" fontId="5" numFmtId="166" xfId="0" applyFont="1" applyNumberFormat="1"/>
    <xf borderId="0" fillId="0" fontId="5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4.5"/>
    <col customWidth="1" min="5" max="26" width="8.63"/>
  </cols>
  <sheetData>
    <row r="1">
      <c r="A1" s="1" t="s">
        <v>0</v>
      </c>
    </row>
    <row r="3">
      <c r="A3" s="2" t="s">
        <v>1</v>
      </c>
      <c r="B3" s="3" t="s">
        <v>2</v>
      </c>
    </row>
    <row r="4">
      <c r="A4" s="2" t="s">
        <v>3</v>
      </c>
      <c r="B4" s="3" t="s">
        <v>4</v>
      </c>
    </row>
    <row r="5">
      <c r="A5" s="2" t="s">
        <v>5</v>
      </c>
      <c r="B5" s="3">
        <v>26.0</v>
      </c>
    </row>
    <row r="6">
      <c r="A6" s="2" t="s">
        <v>6</v>
      </c>
      <c r="B6" s="3" t="s">
        <v>7</v>
      </c>
    </row>
    <row r="7">
      <c r="A7" s="2" t="s">
        <v>8</v>
      </c>
      <c r="B7" s="3" t="s">
        <v>9</v>
      </c>
    </row>
    <row r="8">
      <c r="A8" s="2" t="s">
        <v>10</v>
      </c>
      <c r="B8" s="3" t="s">
        <v>11</v>
      </c>
    </row>
    <row r="9">
      <c r="A9" s="2" t="s">
        <v>12</v>
      </c>
      <c r="B9" s="3" t="s">
        <v>13</v>
      </c>
    </row>
    <row r="10">
      <c r="A10" s="2" t="s">
        <v>14</v>
      </c>
      <c r="B10" s="3" t="s">
        <v>15</v>
      </c>
    </row>
    <row r="11">
      <c r="A11" s="2" t="s">
        <v>16</v>
      </c>
      <c r="B11" s="3" t="s">
        <v>17</v>
      </c>
    </row>
    <row r="12">
      <c r="A12" s="2" t="s">
        <v>18</v>
      </c>
      <c r="B12" s="3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24.5"/>
    <col customWidth="1" min="3" max="3" width="13.38"/>
    <col customWidth="1" min="4" max="4" width="46.63"/>
    <col customWidth="1" min="5" max="26" width="8.63"/>
  </cols>
  <sheetData>
    <row r="1">
      <c r="A1" s="4" t="s">
        <v>20</v>
      </c>
      <c r="B1" s="5" t="s">
        <v>21</v>
      </c>
      <c r="C1" s="5" t="s">
        <v>22</v>
      </c>
      <c r="D1" s="6" t="s">
        <v>23</v>
      </c>
    </row>
    <row r="2">
      <c r="A2" s="7" t="s">
        <v>24</v>
      </c>
      <c r="B2" s="8" t="s">
        <v>25</v>
      </c>
      <c r="C2" s="8" t="s">
        <v>26</v>
      </c>
      <c r="D2" s="9" t="s">
        <v>27</v>
      </c>
    </row>
    <row r="3">
      <c r="A3" s="7" t="s">
        <v>28</v>
      </c>
      <c r="B3" s="10">
        <v>46185.0</v>
      </c>
      <c r="C3" s="8" t="s">
        <v>29</v>
      </c>
      <c r="D3" s="9" t="s">
        <v>30</v>
      </c>
    </row>
    <row r="4">
      <c r="A4" s="7" t="s">
        <v>31</v>
      </c>
      <c r="B4" s="8">
        <v>15.0</v>
      </c>
      <c r="C4" s="8" t="s">
        <v>32</v>
      </c>
      <c r="D4" s="9" t="s">
        <v>33</v>
      </c>
    </row>
    <row r="5">
      <c r="A5" s="7" t="s">
        <v>34</v>
      </c>
      <c r="B5" s="8">
        <v>30.0</v>
      </c>
      <c r="C5" s="8" t="s">
        <v>32</v>
      </c>
      <c r="D5" s="9" t="s">
        <v>35</v>
      </c>
    </row>
    <row r="6">
      <c r="A6" s="7" t="s">
        <v>36</v>
      </c>
      <c r="B6" s="11">
        <v>185000.0</v>
      </c>
      <c r="C6" s="8" t="s">
        <v>37</v>
      </c>
      <c r="D6" s="9" t="s">
        <v>38</v>
      </c>
    </row>
    <row r="7">
      <c r="A7" s="7" t="s">
        <v>39</v>
      </c>
      <c r="B7" s="11">
        <v>15000.0</v>
      </c>
      <c r="C7" s="8" t="s">
        <v>37</v>
      </c>
      <c r="D7" s="9" t="s">
        <v>40</v>
      </c>
    </row>
    <row r="8">
      <c r="A8" s="7" t="s">
        <v>41</v>
      </c>
      <c r="B8" s="8" t="s">
        <v>42</v>
      </c>
      <c r="C8" s="8" t="s">
        <v>26</v>
      </c>
      <c r="D8" s="9" t="s">
        <v>43</v>
      </c>
    </row>
    <row r="9">
      <c r="A9" s="7" t="s">
        <v>44</v>
      </c>
      <c r="B9" s="10">
        <v>46171.0</v>
      </c>
      <c r="C9" s="8" t="s">
        <v>29</v>
      </c>
      <c r="D9" s="9" t="s">
        <v>45</v>
      </c>
    </row>
    <row r="10">
      <c r="A10" s="7" t="s">
        <v>46</v>
      </c>
      <c r="B10" s="10">
        <v>46188.0</v>
      </c>
      <c r="C10" s="8" t="s">
        <v>29</v>
      </c>
      <c r="D10" s="9" t="s">
        <v>47</v>
      </c>
    </row>
    <row r="11">
      <c r="A11" s="12" t="s">
        <v>48</v>
      </c>
      <c r="B11" s="13" t="s">
        <v>49</v>
      </c>
      <c r="C11" s="13" t="s">
        <v>26</v>
      </c>
      <c r="D11" s="14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28.88"/>
    <col customWidth="1" min="3" max="3" width="14.5"/>
    <col customWidth="1" min="4" max="5" width="16.63"/>
    <col customWidth="1" min="6" max="6" width="17.75"/>
    <col customWidth="1" min="7" max="7" width="10.0"/>
    <col customWidth="1" min="8" max="8" width="16.63"/>
    <col customWidth="1" min="9" max="9" width="46.63"/>
    <col customWidth="1" min="10" max="26" width="8.63"/>
  </cols>
  <sheetData>
    <row r="1">
      <c r="A1" s="4" t="s">
        <v>51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56</v>
      </c>
      <c r="G1" s="5" t="s">
        <v>24</v>
      </c>
      <c r="H1" s="5" t="s">
        <v>28</v>
      </c>
      <c r="I1" s="6" t="s">
        <v>23</v>
      </c>
    </row>
    <row r="2">
      <c r="A2" s="7" t="s">
        <v>57</v>
      </c>
      <c r="B2" s="8" t="s">
        <v>58</v>
      </c>
      <c r="C2" s="8" t="s">
        <v>59</v>
      </c>
      <c r="D2" s="15">
        <v>1417.0</v>
      </c>
      <c r="E2" s="8" t="b">
        <v>1</v>
      </c>
      <c r="F2" s="8" t="b">
        <v>1</v>
      </c>
      <c r="G2" s="8" t="s">
        <v>25</v>
      </c>
      <c r="H2" s="16">
        <v>46185.34477186343</v>
      </c>
      <c r="I2" s="9" t="s">
        <v>60</v>
      </c>
    </row>
    <row r="3">
      <c r="A3" s="7" t="s">
        <v>61</v>
      </c>
      <c r="B3" s="8" t="s">
        <v>62</v>
      </c>
      <c r="C3" s="8" t="s">
        <v>63</v>
      </c>
      <c r="D3" s="11">
        <v>153000.0</v>
      </c>
      <c r="E3" s="8" t="b">
        <v>0</v>
      </c>
      <c r="F3" s="8" t="b">
        <v>1</v>
      </c>
      <c r="G3" s="8" t="s">
        <v>25</v>
      </c>
      <c r="H3" s="17">
        <v>46185.0</v>
      </c>
      <c r="I3" s="9" t="s">
        <v>64</v>
      </c>
    </row>
    <row r="4">
      <c r="A4" s="12" t="s">
        <v>65</v>
      </c>
      <c r="B4" s="13" t="s">
        <v>66</v>
      </c>
      <c r="C4" s="13" t="s">
        <v>65</v>
      </c>
      <c r="D4" s="18">
        <v>0.0</v>
      </c>
      <c r="E4" s="13" t="b">
        <v>1</v>
      </c>
      <c r="F4" s="13" t="b">
        <v>1</v>
      </c>
      <c r="G4" s="13" t="s">
        <v>25</v>
      </c>
      <c r="H4" s="19">
        <v>46185.0</v>
      </c>
      <c r="I4" s="14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7.75"/>
    <col customWidth="1" min="3" max="3" width="12.25"/>
    <col customWidth="1" min="4" max="4" width="15.5"/>
    <col customWidth="1" min="5" max="5" width="21.13"/>
    <col customWidth="1" min="6" max="6" width="16.63"/>
    <col customWidth="1" min="7" max="7" width="10.0"/>
    <col customWidth="1" min="8" max="8" width="40.0"/>
    <col customWidth="1" min="9" max="26" width="8.63"/>
  </cols>
  <sheetData>
    <row r="1">
      <c r="A1" s="4" t="s">
        <v>68</v>
      </c>
      <c r="B1" s="5" t="s">
        <v>52</v>
      </c>
      <c r="C1" s="5" t="s">
        <v>69</v>
      </c>
      <c r="D1" s="5" t="s">
        <v>70</v>
      </c>
      <c r="E1" s="5" t="s">
        <v>71</v>
      </c>
      <c r="F1" s="5" t="s">
        <v>72</v>
      </c>
      <c r="G1" s="5" t="s">
        <v>73</v>
      </c>
      <c r="H1" s="6" t="s">
        <v>23</v>
      </c>
    </row>
    <row r="2">
      <c r="A2" s="7" t="s">
        <v>74</v>
      </c>
      <c r="B2" s="8" t="s">
        <v>75</v>
      </c>
      <c r="C2" s="20">
        <v>15.0</v>
      </c>
      <c r="D2" s="11">
        <v>185000.0</v>
      </c>
      <c r="E2" s="8" t="s">
        <v>42</v>
      </c>
      <c r="F2" s="8" t="s">
        <v>57</v>
      </c>
      <c r="G2" s="8" t="b">
        <v>1</v>
      </c>
      <c r="H2" s="9" t="s">
        <v>76</v>
      </c>
    </row>
    <row r="3">
      <c r="A3" s="12" t="s">
        <v>77</v>
      </c>
      <c r="B3" s="13" t="s">
        <v>78</v>
      </c>
      <c r="C3" s="21">
        <v>30.0</v>
      </c>
      <c r="D3" s="18">
        <v>15000.0</v>
      </c>
      <c r="E3" s="13" t="s">
        <v>42</v>
      </c>
      <c r="F3" s="13" t="s">
        <v>57</v>
      </c>
      <c r="G3" s="13" t="b">
        <v>1</v>
      </c>
      <c r="H3" s="14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1.13"/>
    <col customWidth="1" min="3" max="3" width="15.5"/>
    <col customWidth="1" min="4" max="4" width="16.63"/>
    <col customWidth="1" min="5" max="5" width="17.75"/>
    <col customWidth="1" min="6" max="6" width="46.63"/>
    <col customWidth="1" min="7" max="26" width="8.63"/>
  </cols>
  <sheetData>
    <row r="1">
      <c r="A1" s="4" t="s">
        <v>79</v>
      </c>
      <c r="B1" s="5" t="s">
        <v>52</v>
      </c>
      <c r="C1" s="5" t="s">
        <v>80</v>
      </c>
      <c r="D1" s="5" t="s">
        <v>81</v>
      </c>
      <c r="E1" s="5" t="s">
        <v>82</v>
      </c>
      <c r="F1" s="6" t="s">
        <v>23</v>
      </c>
    </row>
    <row r="2">
      <c r="A2" s="7" t="s">
        <v>83</v>
      </c>
      <c r="B2" s="8" t="s">
        <v>84</v>
      </c>
      <c r="C2" s="8" t="s">
        <v>85</v>
      </c>
      <c r="D2" s="11">
        <v>25000.0</v>
      </c>
      <c r="E2" s="8" t="b">
        <v>1</v>
      </c>
      <c r="F2" s="9" t="s">
        <v>86</v>
      </c>
    </row>
    <row r="3">
      <c r="A3" s="7" t="s">
        <v>87</v>
      </c>
      <c r="B3" s="8" t="s">
        <v>88</v>
      </c>
      <c r="C3" s="8" t="s">
        <v>85</v>
      </c>
      <c r="D3" s="11">
        <v>10000.0</v>
      </c>
      <c r="E3" s="8" t="b">
        <v>1</v>
      </c>
      <c r="F3" s="9" t="s">
        <v>89</v>
      </c>
    </row>
    <row r="4">
      <c r="A4" s="7" t="s">
        <v>90</v>
      </c>
      <c r="B4" s="8" t="s">
        <v>91</v>
      </c>
      <c r="C4" s="8" t="s">
        <v>92</v>
      </c>
      <c r="D4" s="11">
        <v>20000.0</v>
      </c>
      <c r="E4" s="8" t="b">
        <v>1</v>
      </c>
      <c r="F4" s="9" t="s">
        <v>86</v>
      </c>
    </row>
    <row r="5">
      <c r="A5" s="7" t="s">
        <v>93</v>
      </c>
      <c r="B5" s="8" t="s">
        <v>94</v>
      </c>
      <c r="C5" s="8" t="s">
        <v>85</v>
      </c>
      <c r="D5" s="11">
        <v>10000.0</v>
      </c>
      <c r="E5" s="8" t="b">
        <v>1</v>
      </c>
      <c r="F5" s="9" t="s">
        <v>95</v>
      </c>
    </row>
    <row r="6">
      <c r="A6" s="7" t="s">
        <v>96</v>
      </c>
      <c r="B6" s="8" t="s">
        <v>97</v>
      </c>
      <c r="C6" s="8" t="s">
        <v>98</v>
      </c>
      <c r="D6" s="11">
        <v>10000.0</v>
      </c>
      <c r="E6" s="8" t="b">
        <v>1</v>
      </c>
      <c r="F6" s="9" t="s">
        <v>86</v>
      </c>
    </row>
    <row r="7">
      <c r="A7" s="7" t="s">
        <v>99</v>
      </c>
      <c r="B7" s="8" t="s">
        <v>100</v>
      </c>
      <c r="C7" s="8" t="s">
        <v>85</v>
      </c>
      <c r="D7" s="11">
        <v>10000.0</v>
      </c>
      <c r="E7" s="8" t="b">
        <v>1</v>
      </c>
      <c r="F7" s="9" t="s">
        <v>86</v>
      </c>
    </row>
    <row r="8">
      <c r="A8" s="7" t="s">
        <v>101</v>
      </c>
      <c r="B8" s="8" t="s">
        <v>102</v>
      </c>
      <c r="C8" s="8" t="s">
        <v>85</v>
      </c>
      <c r="D8" s="11">
        <v>5000.0</v>
      </c>
      <c r="E8" s="8" t="b">
        <v>1</v>
      </c>
      <c r="F8" s="9" t="s">
        <v>103</v>
      </c>
    </row>
    <row r="9">
      <c r="A9" s="7" t="s">
        <v>104</v>
      </c>
      <c r="B9" s="8" t="s">
        <v>105</v>
      </c>
      <c r="C9" s="8" t="s">
        <v>85</v>
      </c>
      <c r="D9" s="11">
        <v>20000.0</v>
      </c>
      <c r="E9" s="8" t="b">
        <v>1</v>
      </c>
      <c r="F9" s="9" t="s">
        <v>86</v>
      </c>
    </row>
    <row r="10">
      <c r="A10" s="7" t="s">
        <v>106</v>
      </c>
      <c r="B10" s="8" t="s">
        <v>107</v>
      </c>
      <c r="C10" s="8" t="s">
        <v>85</v>
      </c>
      <c r="D10" s="11">
        <v>5000.0</v>
      </c>
      <c r="E10" s="8" t="b">
        <v>1</v>
      </c>
      <c r="F10" s="9" t="s">
        <v>86</v>
      </c>
    </row>
    <row r="11">
      <c r="A11" s="7" t="s">
        <v>108</v>
      </c>
      <c r="B11" s="8" t="s">
        <v>109</v>
      </c>
      <c r="C11" s="8" t="s">
        <v>110</v>
      </c>
      <c r="D11" s="11">
        <v>30000.0</v>
      </c>
      <c r="E11" s="8" t="b">
        <v>0</v>
      </c>
      <c r="F11" s="9" t="s">
        <v>111</v>
      </c>
    </row>
    <row r="12">
      <c r="A12" s="7" t="s">
        <v>112</v>
      </c>
      <c r="B12" s="8" t="s">
        <v>113</v>
      </c>
      <c r="C12" s="8" t="s">
        <v>110</v>
      </c>
      <c r="D12" s="11">
        <v>10000.0</v>
      </c>
      <c r="E12" s="8" t="b">
        <v>0</v>
      </c>
      <c r="F12" s="9" t="s">
        <v>111</v>
      </c>
    </row>
    <row r="13">
      <c r="A13" s="7" t="s">
        <v>114</v>
      </c>
      <c r="B13" s="8" t="s">
        <v>115</v>
      </c>
      <c r="C13" s="8" t="s">
        <v>116</v>
      </c>
      <c r="D13" s="11">
        <v>40000.0</v>
      </c>
      <c r="E13" s="8" t="b">
        <v>0</v>
      </c>
      <c r="F13" s="9" t="s">
        <v>117</v>
      </c>
    </row>
    <row r="14">
      <c r="A14" s="7" t="s">
        <v>118</v>
      </c>
      <c r="B14" s="8" t="s">
        <v>119</v>
      </c>
      <c r="C14" s="8" t="s">
        <v>63</v>
      </c>
      <c r="D14" s="11">
        <v>0.0</v>
      </c>
      <c r="E14" s="8" t="b">
        <v>0</v>
      </c>
      <c r="F14" s="9" t="s">
        <v>120</v>
      </c>
    </row>
    <row r="15">
      <c r="A15" s="7" t="s">
        <v>121</v>
      </c>
      <c r="B15" s="8" t="s">
        <v>122</v>
      </c>
      <c r="C15" s="8" t="s">
        <v>123</v>
      </c>
      <c r="D15" s="11">
        <v>10000.0</v>
      </c>
      <c r="E15" s="8" t="b">
        <v>1</v>
      </c>
      <c r="F15" s="9" t="s">
        <v>86</v>
      </c>
    </row>
    <row r="16">
      <c r="A16" s="12" t="s">
        <v>124</v>
      </c>
      <c r="B16" s="13" t="s">
        <v>125</v>
      </c>
      <c r="C16" s="13" t="s">
        <v>124</v>
      </c>
      <c r="D16" s="18">
        <v>0.0</v>
      </c>
      <c r="E16" s="13" t="b">
        <v>1</v>
      </c>
      <c r="F16" s="14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8.88"/>
    <col customWidth="1" min="3" max="3" width="20.0"/>
    <col customWidth="1" min="4" max="4" width="13.38"/>
    <col customWidth="1" min="5" max="5" width="23.38"/>
    <col customWidth="1" min="6" max="6" width="10.0"/>
    <col customWidth="1" min="7" max="7" width="46.63"/>
    <col customWidth="1" min="8" max="26" width="8.63"/>
  </cols>
  <sheetData>
    <row r="1">
      <c r="A1" s="4" t="s">
        <v>127</v>
      </c>
      <c r="B1" s="5" t="s">
        <v>52</v>
      </c>
      <c r="C1" s="5" t="s">
        <v>79</v>
      </c>
      <c r="D1" s="5" t="s">
        <v>128</v>
      </c>
      <c r="E1" s="5" t="s">
        <v>129</v>
      </c>
      <c r="F1" s="5" t="s">
        <v>73</v>
      </c>
      <c r="G1" s="6" t="s">
        <v>23</v>
      </c>
    </row>
    <row r="2">
      <c r="A2" s="7" t="s">
        <v>130</v>
      </c>
      <c r="B2" s="8" t="s">
        <v>84</v>
      </c>
      <c r="C2" s="8" t="s">
        <v>83</v>
      </c>
      <c r="D2" s="8" t="s">
        <v>131</v>
      </c>
      <c r="E2" s="8" t="s">
        <v>132</v>
      </c>
      <c r="F2" s="8" t="b">
        <v>1</v>
      </c>
      <c r="G2" s="9" t="s">
        <v>133</v>
      </c>
    </row>
    <row r="3">
      <c r="A3" s="7" t="s">
        <v>134</v>
      </c>
      <c r="B3" s="8" t="s">
        <v>135</v>
      </c>
      <c r="C3" s="8" t="s">
        <v>87</v>
      </c>
      <c r="D3" s="8" t="s">
        <v>131</v>
      </c>
      <c r="E3" s="8" t="s">
        <v>136</v>
      </c>
      <c r="F3" s="8" t="b">
        <v>1</v>
      </c>
      <c r="G3" s="9" t="s">
        <v>137</v>
      </c>
    </row>
    <row r="4">
      <c r="A4" s="7" t="s">
        <v>138</v>
      </c>
      <c r="B4" s="8" t="s">
        <v>139</v>
      </c>
      <c r="C4" s="8" t="s">
        <v>87</v>
      </c>
      <c r="D4" s="8" t="s">
        <v>131</v>
      </c>
      <c r="E4" s="8" t="s">
        <v>140</v>
      </c>
      <c r="F4" s="8" t="b">
        <v>1</v>
      </c>
      <c r="G4" s="9" t="s">
        <v>141</v>
      </c>
    </row>
    <row r="5">
      <c r="A5" s="7" t="s">
        <v>142</v>
      </c>
      <c r="B5" s="8" t="s">
        <v>143</v>
      </c>
      <c r="C5" s="8" t="s">
        <v>90</v>
      </c>
      <c r="D5" s="8" t="s">
        <v>131</v>
      </c>
      <c r="E5" s="8" t="s">
        <v>144</v>
      </c>
      <c r="F5" s="8" t="b">
        <v>1</v>
      </c>
      <c r="G5" s="9" t="s">
        <v>145</v>
      </c>
    </row>
    <row r="6">
      <c r="A6" s="7" t="s">
        <v>146</v>
      </c>
      <c r="B6" s="8" t="s">
        <v>147</v>
      </c>
      <c r="C6" s="8" t="s">
        <v>90</v>
      </c>
      <c r="D6" s="8" t="s">
        <v>131</v>
      </c>
      <c r="E6" s="8" t="s">
        <v>147</v>
      </c>
      <c r="F6" s="8" t="b">
        <v>1</v>
      </c>
      <c r="G6" s="9" t="s">
        <v>148</v>
      </c>
    </row>
    <row r="7">
      <c r="A7" s="7" t="s">
        <v>149</v>
      </c>
      <c r="B7" s="8" t="s">
        <v>150</v>
      </c>
      <c r="C7" s="8" t="s">
        <v>93</v>
      </c>
      <c r="D7" s="8" t="s">
        <v>131</v>
      </c>
      <c r="E7" s="8" t="s">
        <v>151</v>
      </c>
      <c r="F7" s="8" t="b">
        <v>1</v>
      </c>
      <c r="G7" s="9" t="s">
        <v>152</v>
      </c>
    </row>
    <row r="8">
      <c r="A8" s="7" t="s">
        <v>96</v>
      </c>
      <c r="B8" s="8" t="s">
        <v>153</v>
      </c>
      <c r="C8" s="8" t="s">
        <v>96</v>
      </c>
      <c r="D8" s="8" t="s">
        <v>131</v>
      </c>
      <c r="E8" s="8" t="s">
        <v>154</v>
      </c>
      <c r="F8" s="8" t="b">
        <v>1</v>
      </c>
      <c r="G8" s="9" t="s">
        <v>155</v>
      </c>
    </row>
    <row r="9">
      <c r="A9" s="7" t="s">
        <v>156</v>
      </c>
      <c r="B9" s="8" t="s">
        <v>157</v>
      </c>
      <c r="C9" s="8" t="s">
        <v>112</v>
      </c>
      <c r="D9" s="8" t="s">
        <v>131</v>
      </c>
      <c r="E9" s="8" t="s">
        <v>158</v>
      </c>
      <c r="F9" s="8" t="b">
        <v>1</v>
      </c>
      <c r="G9" s="9" t="s">
        <v>159</v>
      </c>
    </row>
    <row r="10">
      <c r="A10" s="7" t="s">
        <v>99</v>
      </c>
      <c r="B10" s="8" t="s">
        <v>160</v>
      </c>
      <c r="C10" s="8" t="s">
        <v>99</v>
      </c>
      <c r="D10" s="8" t="s">
        <v>131</v>
      </c>
      <c r="E10" s="8" t="s">
        <v>161</v>
      </c>
      <c r="F10" s="8" t="b">
        <v>1</v>
      </c>
      <c r="G10" s="9" t="s">
        <v>162</v>
      </c>
    </row>
    <row r="11">
      <c r="A11" s="7" t="s">
        <v>163</v>
      </c>
      <c r="B11" s="8" t="s">
        <v>164</v>
      </c>
      <c r="C11" s="8" t="s">
        <v>99</v>
      </c>
      <c r="D11" s="8" t="s">
        <v>131</v>
      </c>
      <c r="E11" s="8" t="s">
        <v>165</v>
      </c>
      <c r="F11" s="8" t="b">
        <v>1</v>
      </c>
      <c r="G11" s="9" t="s">
        <v>166</v>
      </c>
    </row>
    <row r="12">
      <c r="A12" s="7" t="s">
        <v>101</v>
      </c>
      <c r="B12" s="8" t="s">
        <v>102</v>
      </c>
      <c r="C12" s="8" t="s">
        <v>101</v>
      </c>
      <c r="D12" s="8" t="s">
        <v>131</v>
      </c>
      <c r="E12" s="8" t="s">
        <v>167</v>
      </c>
      <c r="F12" s="8" t="b">
        <v>1</v>
      </c>
      <c r="G12" s="9" t="s">
        <v>168</v>
      </c>
    </row>
    <row r="13">
      <c r="A13" s="7" t="s">
        <v>104</v>
      </c>
      <c r="B13" s="8" t="s">
        <v>105</v>
      </c>
      <c r="C13" s="8" t="s">
        <v>104</v>
      </c>
      <c r="D13" s="8" t="s">
        <v>131</v>
      </c>
      <c r="E13" s="8" t="s">
        <v>169</v>
      </c>
      <c r="F13" s="8" t="b">
        <v>1</v>
      </c>
      <c r="G13" s="9" t="s">
        <v>170</v>
      </c>
    </row>
    <row r="14">
      <c r="A14" s="7" t="s">
        <v>106</v>
      </c>
      <c r="B14" s="8" t="s">
        <v>107</v>
      </c>
      <c r="C14" s="8" t="s">
        <v>106</v>
      </c>
      <c r="D14" s="8" t="s">
        <v>131</v>
      </c>
      <c r="E14" s="8" t="s">
        <v>171</v>
      </c>
      <c r="F14" s="8" t="b">
        <v>1</v>
      </c>
      <c r="G14" s="9" t="s">
        <v>172</v>
      </c>
    </row>
    <row r="15">
      <c r="A15" s="7" t="s">
        <v>108</v>
      </c>
      <c r="B15" s="8" t="s">
        <v>109</v>
      </c>
      <c r="C15" s="8" t="s">
        <v>108</v>
      </c>
      <c r="D15" s="8" t="s">
        <v>110</v>
      </c>
      <c r="E15" s="8" t="s">
        <v>173</v>
      </c>
      <c r="F15" s="8" t="b">
        <v>0</v>
      </c>
      <c r="G15" s="9" t="s">
        <v>174</v>
      </c>
    </row>
    <row r="16">
      <c r="A16" s="7" t="s">
        <v>112</v>
      </c>
      <c r="B16" s="8" t="s">
        <v>175</v>
      </c>
      <c r="C16" s="8" t="s">
        <v>112</v>
      </c>
      <c r="D16" s="8" t="s">
        <v>110</v>
      </c>
      <c r="E16" s="8" t="s">
        <v>173</v>
      </c>
      <c r="F16" s="8" t="b">
        <v>0</v>
      </c>
      <c r="G16" s="9" t="s">
        <v>176</v>
      </c>
    </row>
    <row r="17">
      <c r="A17" s="7" t="s">
        <v>118</v>
      </c>
      <c r="B17" s="8" t="s">
        <v>177</v>
      </c>
      <c r="C17" s="8" t="s">
        <v>118</v>
      </c>
      <c r="D17" s="8" t="s">
        <v>63</v>
      </c>
      <c r="E17" s="8" t="s">
        <v>119</v>
      </c>
      <c r="F17" s="8" t="b">
        <v>0</v>
      </c>
      <c r="G17" s="9" t="s">
        <v>178</v>
      </c>
    </row>
    <row r="18">
      <c r="A18" s="7" t="s">
        <v>179</v>
      </c>
      <c r="B18" s="8" t="s">
        <v>180</v>
      </c>
      <c r="C18" s="8" t="s">
        <v>114</v>
      </c>
      <c r="D18" s="8" t="s">
        <v>181</v>
      </c>
      <c r="E18" s="8" t="s">
        <v>182</v>
      </c>
      <c r="F18" s="8" t="b">
        <v>0</v>
      </c>
      <c r="G18" s="9" t="s">
        <v>183</v>
      </c>
    </row>
    <row r="19">
      <c r="A19" s="7" t="s">
        <v>184</v>
      </c>
      <c r="B19" s="8" t="s">
        <v>185</v>
      </c>
      <c r="C19" s="8" t="s">
        <v>114</v>
      </c>
      <c r="D19" s="8" t="s">
        <v>181</v>
      </c>
      <c r="E19" s="8" t="s">
        <v>182</v>
      </c>
      <c r="F19" s="8" t="b">
        <v>0</v>
      </c>
      <c r="G19" s="9" t="s">
        <v>186</v>
      </c>
    </row>
    <row r="20">
      <c r="A20" s="7" t="s">
        <v>187</v>
      </c>
      <c r="B20" s="8" t="s">
        <v>188</v>
      </c>
      <c r="C20" s="8" t="s">
        <v>114</v>
      </c>
      <c r="D20" s="8" t="s">
        <v>181</v>
      </c>
      <c r="E20" s="8" t="s">
        <v>182</v>
      </c>
      <c r="F20" s="8" t="b">
        <v>0</v>
      </c>
      <c r="G20" s="9" t="s">
        <v>189</v>
      </c>
    </row>
    <row r="21" ht="15.75" customHeight="1">
      <c r="A21" s="7" t="s">
        <v>190</v>
      </c>
      <c r="B21" s="8" t="s">
        <v>191</v>
      </c>
      <c r="C21" s="8" t="s">
        <v>114</v>
      </c>
      <c r="D21" s="8" t="s">
        <v>181</v>
      </c>
      <c r="E21" s="8" t="s">
        <v>182</v>
      </c>
      <c r="F21" s="8" t="b">
        <v>0</v>
      </c>
      <c r="G21" s="9" t="s">
        <v>192</v>
      </c>
    </row>
    <row r="22" ht="15.75" customHeight="1">
      <c r="A22" s="7" t="s">
        <v>193</v>
      </c>
      <c r="B22" s="8" t="s">
        <v>194</v>
      </c>
      <c r="C22" s="8" t="s">
        <v>114</v>
      </c>
      <c r="D22" s="8" t="s">
        <v>181</v>
      </c>
      <c r="E22" s="8" t="s">
        <v>195</v>
      </c>
      <c r="F22" s="8" t="b">
        <v>0</v>
      </c>
      <c r="G22" s="9" t="s">
        <v>196</v>
      </c>
    </row>
    <row r="23" ht="15.75" customHeight="1">
      <c r="A23" s="7" t="s">
        <v>121</v>
      </c>
      <c r="B23" s="8" t="s">
        <v>122</v>
      </c>
      <c r="C23" s="8" t="s">
        <v>121</v>
      </c>
      <c r="D23" s="8" t="s">
        <v>123</v>
      </c>
      <c r="E23" s="8" t="s">
        <v>197</v>
      </c>
      <c r="F23" s="8" t="b">
        <v>1</v>
      </c>
      <c r="G23" s="9" t="s">
        <v>198</v>
      </c>
    </row>
    <row r="24" ht="15.75" customHeight="1">
      <c r="A24" s="12" t="s">
        <v>124</v>
      </c>
      <c r="B24" s="13" t="s">
        <v>125</v>
      </c>
      <c r="C24" s="13" t="s">
        <v>124</v>
      </c>
      <c r="D24" s="13" t="s">
        <v>131</v>
      </c>
      <c r="E24" s="13" t="s">
        <v>125</v>
      </c>
      <c r="F24" s="13" t="b">
        <v>1</v>
      </c>
      <c r="G24" s="14" t="s">
        <v>199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25.5"/>
    <col customWidth="1" min="3" max="3" width="20.0"/>
    <col customWidth="1" min="4" max="4" width="16.63"/>
    <col customWidth="1" min="5" max="5" width="11.13"/>
    <col customWidth="1" min="6" max="6" width="13.38"/>
    <col customWidth="1" min="7" max="7" width="10.0"/>
    <col customWidth="1" min="8" max="8" width="51.13"/>
    <col customWidth="1" min="9" max="26" width="8.63"/>
  </cols>
  <sheetData>
    <row r="1">
      <c r="A1" s="4" t="s">
        <v>200</v>
      </c>
      <c r="B1" s="5" t="s">
        <v>52</v>
      </c>
      <c r="C1" s="5" t="s">
        <v>127</v>
      </c>
      <c r="D1" s="5" t="s">
        <v>201</v>
      </c>
      <c r="E1" s="5" t="s">
        <v>202</v>
      </c>
      <c r="F1" s="5" t="s">
        <v>203</v>
      </c>
      <c r="G1" s="5" t="s">
        <v>73</v>
      </c>
      <c r="H1" s="6" t="s">
        <v>23</v>
      </c>
    </row>
    <row r="2">
      <c r="A2" s="7" t="s">
        <v>204</v>
      </c>
      <c r="B2" s="8" t="s">
        <v>109</v>
      </c>
      <c r="C2" s="8" t="s">
        <v>108</v>
      </c>
      <c r="D2" s="11">
        <v>30000.0</v>
      </c>
      <c r="E2" s="20"/>
      <c r="F2" s="8" t="b">
        <v>1</v>
      </c>
      <c r="G2" s="8" t="b">
        <v>1</v>
      </c>
      <c r="H2" s="9" t="s">
        <v>205</v>
      </c>
    </row>
    <row r="3">
      <c r="A3" s="12" t="s">
        <v>112</v>
      </c>
      <c r="B3" s="13" t="s">
        <v>113</v>
      </c>
      <c r="C3" s="13" t="s">
        <v>112</v>
      </c>
      <c r="D3" s="18">
        <v>10000.0</v>
      </c>
      <c r="E3" s="21"/>
      <c r="F3" s="13" t="b">
        <v>1</v>
      </c>
      <c r="G3" s="13" t="b">
        <v>1</v>
      </c>
      <c r="H3" s="14" t="s">
        <v>206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26.63"/>
    <col customWidth="1" min="3" max="3" width="21.13"/>
    <col customWidth="1" min="4" max="6" width="16.63"/>
    <col customWidth="1" min="7" max="8" width="10.0"/>
    <col customWidth="1" min="9" max="9" width="14.5"/>
    <col customWidth="1" min="10" max="10" width="47.75"/>
    <col customWidth="1" min="11" max="26" width="8.63"/>
  </cols>
  <sheetData>
    <row r="1">
      <c r="A1" s="4" t="s">
        <v>207</v>
      </c>
      <c r="B1" s="5" t="s">
        <v>52</v>
      </c>
      <c r="C1" s="5" t="s">
        <v>127</v>
      </c>
      <c r="D1" s="5" t="s">
        <v>208</v>
      </c>
      <c r="E1" s="5" t="s">
        <v>209</v>
      </c>
      <c r="F1" s="5" t="s">
        <v>210</v>
      </c>
      <c r="G1" s="5" t="s">
        <v>211</v>
      </c>
      <c r="H1" s="5" t="s">
        <v>73</v>
      </c>
      <c r="I1" s="5" t="s">
        <v>212</v>
      </c>
      <c r="J1" s="6" t="s">
        <v>23</v>
      </c>
    </row>
    <row r="2">
      <c r="A2" s="7" t="s">
        <v>213</v>
      </c>
      <c r="B2" s="8" t="s">
        <v>214</v>
      </c>
      <c r="C2" s="8" t="s">
        <v>179</v>
      </c>
      <c r="D2" s="11">
        <v>30000.0</v>
      </c>
      <c r="E2" s="11">
        <v>0.0</v>
      </c>
      <c r="F2" s="11">
        <v>10000.0</v>
      </c>
      <c r="G2" s="20">
        <v>1.0</v>
      </c>
      <c r="H2" s="8" t="b">
        <v>1</v>
      </c>
      <c r="I2" s="8" t="b">
        <v>0</v>
      </c>
      <c r="J2" s="9" t="s">
        <v>215</v>
      </c>
    </row>
    <row r="3">
      <c r="A3" s="7" t="s">
        <v>216</v>
      </c>
      <c r="B3" s="8" t="s">
        <v>217</v>
      </c>
      <c r="C3" s="8" t="s">
        <v>184</v>
      </c>
      <c r="D3" s="11">
        <v>120000.0</v>
      </c>
      <c r="E3" s="11">
        <v>0.0</v>
      </c>
      <c r="F3" s="11">
        <v>15000.0</v>
      </c>
      <c r="G3" s="20">
        <v>2.0</v>
      </c>
      <c r="H3" s="8" t="b">
        <v>1</v>
      </c>
      <c r="I3" s="8" t="b">
        <v>0</v>
      </c>
      <c r="J3" s="9" t="s">
        <v>218</v>
      </c>
    </row>
    <row r="4">
      <c r="A4" s="7" t="s">
        <v>219</v>
      </c>
      <c r="B4" s="8" t="s">
        <v>188</v>
      </c>
      <c r="C4" s="8" t="s">
        <v>187</v>
      </c>
      <c r="D4" s="11">
        <v>100000.0</v>
      </c>
      <c r="E4" s="11">
        <v>0.0</v>
      </c>
      <c r="F4" s="11">
        <v>10000.0</v>
      </c>
      <c r="G4" s="20">
        <v>3.0</v>
      </c>
      <c r="H4" s="8" t="b">
        <v>1</v>
      </c>
      <c r="I4" s="8" t="b">
        <v>0</v>
      </c>
      <c r="J4" s="9" t="s">
        <v>189</v>
      </c>
    </row>
    <row r="5">
      <c r="A5" s="7" t="s">
        <v>220</v>
      </c>
      <c r="B5" s="8" t="s">
        <v>191</v>
      </c>
      <c r="C5" s="8" t="s">
        <v>190</v>
      </c>
      <c r="D5" s="11">
        <v>1000000.0</v>
      </c>
      <c r="E5" s="11">
        <v>0.0</v>
      </c>
      <c r="F5" s="11">
        <v>10000.0</v>
      </c>
      <c r="G5" s="20">
        <v>4.0</v>
      </c>
      <c r="H5" s="8" t="b">
        <v>1</v>
      </c>
      <c r="I5" s="8" t="b">
        <v>0</v>
      </c>
      <c r="J5" s="9" t="s">
        <v>221</v>
      </c>
    </row>
    <row r="6">
      <c r="A6" s="7" t="s">
        <v>222</v>
      </c>
      <c r="B6" s="8" t="s">
        <v>194</v>
      </c>
      <c r="C6" s="8" t="s">
        <v>193</v>
      </c>
      <c r="D6" s="11"/>
      <c r="E6" s="11">
        <v>0.0</v>
      </c>
      <c r="F6" s="11">
        <v>0.0</v>
      </c>
      <c r="G6" s="20">
        <v>5.0</v>
      </c>
      <c r="H6" s="8" t="b">
        <v>1</v>
      </c>
      <c r="I6" s="8" t="b">
        <v>1</v>
      </c>
      <c r="J6" s="9" t="s">
        <v>223</v>
      </c>
    </row>
    <row r="7">
      <c r="A7" s="12" t="s">
        <v>118</v>
      </c>
      <c r="B7" s="13" t="s">
        <v>177</v>
      </c>
      <c r="C7" s="13" t="s">
        <v>118</v>
      </c>
      <c r="D7" s="18"/>
      <c r="E7" s="18">
        <v>153000.0</v>
      </c>
      <c r="F7" s="18">
        <v>0.0</v>
      </c>
      <c r="G7" s="21">
        <v>6.0</v>
      </c>
      <c r="H7" s="13" t="b">
        <v>1</v>
      </c>
      <c r="I7" s="13" t="b">
        <v>1</v>
      </c>
      <c r="J7" s="14" t="s">
        <v>224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6.63"/>
    <col customWidth="1" min="3" max="3" width="10.0"/>
    <col customWidth="1" min="4" max="4" width="13.38"/>
    <col customWidth="1" min="5" max="6" width="20.0"/>
    <col customWidth="1" min="7" max="7" width="24.5"/>
    <col customWidth="1" min="8" max="8" width="26.63"/>
    <col customWidth="1" min="9" max="9" width="14.5"/>
    <col customWidth="1" min="10" max="10" width="10.0"/>
    <col customWidth="1" min="11" max="11" width="13.38"/>
    <col customWidth="1" min="12" max="12" width="28.88"/>
    <col customWidth="1" min="13" max="13" width="10.0"/>
    <col customWidth="1" min="14" max="15" width="16.63"/>
    <col customWidth="1" min="16" max="16" width="40.0"/>
    <col customWidth="1" min="17" max="26" width="8.63"/>
  </cols>
  <sheetData>
    <row r="1">
      <c r="A1" s="4" t="s">
        <v>225</v>
      </c>
      <c r="B1" s="5" t="s">
        <v>29</v>
      </c>
      <c r="C1" s="5" t="s">
        <v>22</v>
      </c>
      <c r="D1" s="5" t="s">
        <v>51</v>
      </c>
      <c r="E1" s="5" t="s">
        <v>127</v>
      </c>
      <c r="F1" s="5" t="s">
        <v>79</v>
      </c>
      <c r="G1" s="5" t="s">
        <v>226</v>
      </c>
      <c r="H1" s="5" t="s">
        <v>227</v>
      </c>
      <c r="I1" s="5" t="s">
        <v>70</v>
      </c>
      <c r="J1" s="5" t="s">
        <v>24</v>
      </c>
      <c r="K1" s="5" t="s">
        <v>228</v>
      </c>
      <c r="L1" s="5" t="s">
        <v>229</v>
      </c>
      <c r="M1" s="5" t="s">
        <v>230</v>
      </c>
      <c r="N1" s="5" t="s">
        <v>231</v>
      </c>
      <c r="O1" s="5" t="s">
        <v>232</v>
      </c>
      <c r="P1" s="6" t="s">
        <v>23</v>
      </c>
    </row>
    <row r="2">
      <c r="A2" s="7" t="s">
        <v>233</v>
      </c>
      <c r="B2" s="17">
        <v>46180.0</v>
      </c>
      <c r="C2" s="8" t="s">
        <v>131</v>
      </c>
      <c r="D2" s="8" t="s">
        <v>57</v>
      </c>
      <c r="E2" s="8" t="s">
        <v>163</v>
      </c>
      <c r="F2" s="8" t="s">
        <v>99</v>
      </c>
      <c r="G2" s="8" t="s">
        <v>160</v>
      </c>
      <c r="H2" s="8" t="s">
        <v>234</v>
      </c>
      <c r="I2" s="11">
        <v>5710.0</v>
      </c>
      <c r="J2" s="8" t="s">
        <v>25</v>
      </c>
      <c r="K2" s="8" t="b">
        <v>0</v>
      </c>
      <c r="L2" s="8" t="s">
        <v>235</v>
      </c>
      <c r="M2" s="20">
        <v>2.0</v>
      </c>
      <c r="N2" s="17">
        <v>46185.0</v>
      </c>
      <c r="O2" s="17">
        <v>46185.0</v>
      </c>
      <c r="P2" s="9"/>
    </row>
    <row r="3">
      <c r="A3" s="7" t="s">
        <v>236</v>
      </c>
      <c r="B3" s="17">
        <v>46180.0</v>
      </c>
      <c r="C3" s="8" t="s">
        <v>131</v>
      </c>
      <c r="D3" s="8" t="s">
        <v>57</v>
      </c>
      <c r="E3" s="8" t="s">
        <v>142</v>
      </c>
      <c r="F3" s="8" t="s">
        <v>90</v>
      </c>
      <c r="G3" s="8" t="s">
        <v>94</v>
      </c>
      <c r="H3" s="8" t="s">
        <v>237</v>
      </c>
      <c r="I3" s="11">
        <v>3313.84</v>
      </c>
      <c r="J3" s="8" t="s">
        <v>25</v>
      </c>
      <c r="K3" s="8" t="b">
        <v>0</v>
      </c>
      <c r="L3" s="8" t="s">
        <v>235</v>
      </c>
      <c r="M3" s="20">
        <v>3.0</v>
      </c>
      <c r="N3" s="17">
        <v>46185.0</v>
      </c>
      <c r="O3" s="17">
        <v>46185.0</v>
      </c>
      <c r="P3" s="9"/>
    </row>
    <row r="4">
      <c r="A4" s="7" t="s">
        <v>238</v>
      </c>
      <c r="B4" s="17">
        <v>46180.0</v>
      </c>
      <c r="C4" s="8" t="s">
        <v>131</v>
      </c>
      <c r="D4" s="8" t="s">
        <v>57</v>
      </c>
      <c r="E4" s="8" t="s">
        <v>130</v>
      </c>
      <c r="F4" s="8" t="s">
        <v>83</v>
      </c>
      <c r="G4" s="8" t="s">
        <v>84</v>
      </c>
      <c r="H4" s="8" t="s">
        <v>239</v>
      </c>
      <c r="I4" s="11">
        <v>3084.02</v>
      </c>
      <c r="J4" s="8" t="s">
        <v>25</v>
      </c>
      <c r="K4" s="8" t="b">
        <v>0</v>
      </c>
      <c r="L4" s="8" t="s">
        <v>235</v>
      </c>
      <c r="M4" s="20">
        <v>4.0</v>
      </c>
      <c r="N4" s="17">
        <v>46185.0</v>
      </c>
      <c r="O4" s="17">
        <v>46185.0</v>
      </c>
      <c r="P4" s="9"/>
    </row>
    <row r="5">
      <c r="A5" s="7" t="s">
        <v>240</v>
      </c>
      <c r="B5" s="17">
        <v>46180.0</v>
      </c>
      <c r="C5" s="8" t="s">
        <v>131</v>
      </c>
      <c r="D5" s="8" t="s">
        <v>57</v>
      </c>
      <c r="E5" s="8" t="s">
        <v>134</v>
      </c>
      <c r="F5" s="8" t="s">
        <v>87</v>
      </c>
      <c r="G5" s="8" t="s">
        <v>241</v>
      </c>
      <c r="H5" s="8" t="s">
        <v>242</v>
      </c>
      <c r="I5" s="11">
        <v>2099.0</v>
      </c>
      <c r="J5" s="8" t="s">
        <v>25</v>
      </c>
      <c r="K5" s="8" t="b">
        <v>1</v>
      </c>
      <c r="L5" s="8" t="s">
        <v>235</v>
      </c>
      <c r="M5" s="20">
        <v>5.0</v>
      </c>
      <c r="N5" s="17">
        <v>46185.0</v>
      </c>
      <c r="O5" s="17">
        <v>46185.0</v>
      </c>
      <c r="P5" s="9" t="s">
        <v>243</v>
      </c>
    </row>
    <row r="6">
      <c r="A6" s="7" t="s">
        <v>244</v>
      </c>
      <c r="B6" s="17">
        <v>46180.0</v>
      </c>
      <c r="C6" s="8" t="s">
        <v>131</v>
      </c>
      <c r="D6" s="8" t="s">
        <v>57</v>
      </c>
      <c r="E6" s="8" t="s">
        <v>96</v>
      </c>
      <c r="F6" s="8" t="s">
        <v>96</v>
      </c>
      <c r="G6" s="8" t="s">
        <v>245</v>
      </c>
      <c r="H6" s="8" t="s">
        <v>246</v>
      </c>
      <c r="I6" s="11">
        <v>1689.0</v>
      </c>
      <c r="J6" s="8" t="s">
        <v>25</v>
      </c>
      <c r="K6" s="8" t="b">
        <v>0</v>
      </c>
      <c r="L6" s="8" t="s">
        <v>235</v>
      </c>
      <c r="M6" s="20">
        <v>6.0</v>
      </c>
      <c r="N6" s="17">
        <v>46185.0</v>
      </c>
      <c r="O6" s="17">
        <v>46185.0</v>
      </c>
      <c r="P6" s="9"/>
    </row>
    <row r="7">
      <c r="A7" s="7" t="s">
        <v>247</v>
      </c>
      <c r="B7" s="17">
        <v>46180.0</v>
      </c>
      <c r="C7" s="8" t="s">
        <v>131</v>
      </c>
      <c r="D7" s="8" t="s">
        <v>57</v>
      </c>
      <c r="E7" s="8" t="s">
        <v>138</v>
      </c>
      <c r="F7" s="8" t="s">
        <v>87</v>
      </c>
      <c r="G7" s="8" t="s">
        <v>241</v>
      </c>
      <c r="H7" s="8" t="s">
        <v>248</v>
      </c>
      <c r="I7" s="11">
        <v>1010.93</v>
      </c>
      <c r="J7" s="8" t="s">
        <v>25</v>
      </c>
      <c r="K7" s="8" t="b">
        <v>0</v>
      </c>
      <c r="L7" s="8" t="s">
        <v>235</v>
      </c>
      <c r="M7" s="20">
        <v>7.0</v>
      </c>
      <c r="N7" s="17">
        <v>46185.0</v>
      </c>
      <c r="O7" s="17">
        <v>46185.0</v>
      </c>
      <c r="P7" s="9"/>
    </row>
    <row r="8">
      <c r="A8" s="7" t="s">
        <v>249</v>
      </c>
      <c r="B8" s="17">
        <v>46180.0</v>
      </c>
      <c r="C8" s="8" t="s">
        <v>131</v>
      </c>
      <c r="D8" s="8" t="s">
        <v>57</v>
      </c>
      <c r="E8" s="8" t="s">
        <v>101</v>
      </c>
      <c r="F8" s="8" t="s">
        <v>101</v>
      </c>
      <c r="G8" s="8" t="s">
        <v>102</v>
      </c>
      <c r="H8" s="8" t="s">
        <v>250</v>
      </c>
      <c r="I8" s="11">
        <v>800.0</v>
      </c>
      <c r="J8" s="8" t="s">
        <v>25</v>
      </c>
      <c r="K8" s="8" t="b">
        <v>0</v>
      </c>
      <c r="L8" s="8" t="s">
        <v>235</v>
      </c>
      <c r="M8" s="20">
        <v>8.0</v>
      </c>
      <c r="N8" s="17">
        <v>46185.0</v>
      </c>
      <c r="O8" s="17">
        <v>46185.0</v>
      </c>
      <c r="P8" s="9"/>
    </row>
    <row r="9">
      <c r="A9" s="7" t="s">
        <v>251</v>
      </c>
      <c r="B9" s="17">
        <v>46180.0</v>
      </c>
      <c r="C9" s="8" t="s">
        <v>131</v>
      </c>
      <c r="D9" s="8" t="s">
        <v>57</v>
      </c>
      <c r="E9" s="8" t="s">
        <v>96</v>
      </c>
      <c r="F9" s="8" t="s">
        <v>96</v>
      </c>
      <c r="G9" s="8" t="s">
        <v>245</v>
      </c>
      <c r="H9" s="8" t="s">
        <v>252</v>
      </c>
      <c r="I9" s="11">
        <v>450.0</v>
      </c>
      <c r="J9" s="8" t="s">
        <v>25</v>
      </c>
      <c r="K9" s="8" t="b">
        <v>0</v>
      </c>
      <c r="L9" s="8" t="s">
        <v>235</v>
      </c>
      <c r="M9" s="20">
        <v>9.0</v>
      </c>
      <c r="N9" s="17">
        <v>46185.0</v>
      </c>
      <c r="O9" s="17">
        <v>46185.0</v>
      </c>
      <c r="P9" s="9"/>
    </row>
    <row r="10">
      <c r="A10" s="7" t="s">
        <v>253</v>
      </c>
      <c r="B10" s="17">
        <v>46180.0</v>
      </c>
      <c r="C10" s="8" t="s">
        <v>131</v>
      </c>
      <c r="D10" s="8" t="s">
        <v>57</v>
      </c>
      <c r="E10" s="8" t="s">
        <v>149</v>
      </c>
      <c r="F10" s="8" t="s">
        <v>93</v>
      </c>
      <c r="G10" s="8" t="s">
        <v>94</v>
      </c>
      <c r="H10" s="8" t="s">
        <v>254</v>
      </c>
      <c r="I10" s="11">
        <v>412.0</v>
      </c>
      <c r="J10" s="8" t="s">
        <v>25</v>
      </c>
      <c r="K10" s="8" t="b">
        <v>0</v>
      </c>
      <c r="L10" s="8" t="s">
        <v>235</v>
      </c>
      <c r="M10" s="20">
        <v>10.0</v>
      </c>
      <c r="N10" s="17">
        <v>46185.0</v>
      </c>
      <c r="O10" s="17">
        <v>46185.0</v>
      </c>
      <c r="P10" s="9"/>
    </row>
    <row r="11">
      <c r="A11" s="7" t="s">
        <v>255</v>
      </c>
      <c r="B11" s="17">
        <v>46180.0</v>
      </c>
      <c r="C11" s="8" t="s">
        <v>131</v>
      </c>
      <c r="D11" s="8" t="s">
        <v>57</v>
      </c>
      <c r="E11" s="8" t="s">
        <v>149</v>
      </c>
      <c r="F11" s="8" t="s">
        <v>93</v>
      </c>
      <c r="G11" s="8" t="s">
        <v>94</v>
      </c>
      <c r="H11" s="8" t="s">
        <v>256</v>
      </c>
      <c r="I11" s="11">
        <v>330.0</v>
      </c>
      <c r="J11" s="8" t="s">
        <v>25</v>
      </c>
      <c r="K11" s="8" t="b">
        <v>0</v>
      </c>
      <c r="L11" s="8" t="s">
        <v>235</v>
      </c>
      <c r="M11" s="20">
        <v>11.0</v>
      </c>
      <c r="N11" s="17">
        <v>46185.0</v>
      </c>
      <c r="O11" s="17">
        <v>46185.0</v>
      </c>
      <c r="P11" s="9"/>
    </row>
    <row r="12">
      <c r="A12" s="7" t="s">
        <v>257</v>
      </c>
      <c r="B12" s="17">
        <v>46180.708333333336</v>
      </c>
      <c r="C12" s="8" t="s">
        <v>131</v>
      </c>
      <c r="D12" s="8" t="s">
        <v>57</v>
      </c>
      <c r="E12" s="8" t="s">
        <v>134</v>
      </c>
      <c r="F12" s="8" t="s">
        <v>87</v>
      </c>
      <c r="G12" s="8" t="s">
        <v>241</v>
      </c>
      <c r="H12" s="8"/>
      <c r="I12" s="11">
        <v>3000.0</v>
      </c>
      <c r="J12" s="8" t="s">
        <v>25</v>
      </c>
      <c r="K12" s="8" t="b">
        <v>1</v>
      </c>
      <c r="L12" s="8" t="s">
        <v>235</v>
      </c>
      <c r="M12" s="20">
        <v>12.0</v>
      </c>
      <c r="N12" s="17">
        <v>46185.0</v>
      </c>
      <c r="O12" s="17">
        <v>46185.0</v>
      </c>
      <c r="P12" s="9" t="s">
        <v>243</v>
      </c>
    </row>
    <row r="13">
      <c r="A13" s="7" t="s">
        <v>258</v>
      </c>
      <c r="B13" s="17">
        <v>46180.708333333336</v>
      </c>
      <c r="C13" s="8" t="s">
        <v>131</v>
      </c>
      <c r="D13" s="8" t="s">
        <v>57</v>
      </c>
      <c r="E13" s="8" t="s">
        <v>134</v>
      </c>
      <c r="F13" s="8" t="s">
        <v>87</v>
      </c>
      <c r="G13" s="8" t="s">
        <v>241</v>
      </c>
      <c r="H13" s="8" t="s">
        <v>259</v>
      </c>
      <c r="I13" s="11">
        <v>484.0</v>
      </c>
      <c r="J13" s="8" t="s">
        <v>25</v>
      </c>
      <c r="K13" s="8" t="b">
        <v>0</v>
      </c>
      <c r="L13" s="8" t="s">
        <v>235</v>
      </c>
      <c r="M13" s="20">
        <v>13.0</v>
      </c>
      <c r="N13" s="17">
        <v>46185.0</v>
      </c>
      <c r="O13" s="17">
        <v>46185.0</v>
      </c>
      <c r="P13" s="9"/>
    </row>
    <row r="14">
      <c r="A14" s="7" t="s">
        <v>260</v>
      </c>
      <c r="B14" s="17">
        <v>46181.708333333336</v>
      </c>
      <c r="C14" s="8" t="s">
        <v>131</v>
      </c>
      <c r="D14" s="8" t="s">
        <v>57</v>
      </c>
      <c r="E14" s="8" t="s">
        <v>134</v>
      </c>
      <c r="F14" s="8" t="s">
        <v>87</v>
      </c>
      <c r="G14" s="8" t="s">
        <v>241</v>
      </c>
      <c r="H14" s="8" t="s">
        <v>261</v>
      </c>
      <c r="I14" s="11">
        <v>148.0</v>
      </c>
      <c r="J14" s="8" t="s">
        <v>25</v>
      </c>
      <c r="K14" s="8" t="b">
        <v>0</v>
      </c>
      <c r="L14" s="8" t="s">
        <v>235</v>
      </c>
      <c r="M14" s="20">
        <v>14.0</v>
      </c>
      <c r="N14" s="17">
        <v>46185.0</v>
      </c>
      <c r="O14" s="17">
        <v>46185.0</v>
      </c>
      <c r="P14" s="9"/>
    </row>
    <row r="15">
      <c r="A15" s="7" t="s">
        <v>262</v>
      </c>
      <c r="B15" s="17">
        <v>46181.708333333336</v>
      </c>
      <c r="C15" s="8" t="s">
        <v>131</v>
      </c>
      <c r="D15" s="8" t="s">
        <v>57</v>
      </c>
      <c r="E15" s="8" t="s">
        <v>134</v>
      </c>
      <c r="F15" s="8" t="s">
        <v>87</v>
      </c>
      <c r="G15" s="8" t="s">
        <v>241</v>
      </c>
      <c r="H15" s="8" t="s">
        <v>263</v>
      </c>
      <c r="I15" s="11">
        <v>295.0</v>
      </c>
      <c r="J15" s="8" t="s">
        <v>25</v>
      </c>
      <c r="K15" s="8" t="b">
        <v>0</v>
      </c>
      <c r="L15" s="8" t="s">
        <v>235</v>
      </c>
      <c r="M15" s="20">
        <v>15.0</v>
      </c>
      <c r="N15" s="17">
        <v>46185.0</v>
      </c>
      <c r="O15" s="17">
        <v>46185.0</v>
      </c>
      <c r="P15" s="9"/>
    </row>
    <row r="16">
      <c r="A16" s="7" t="s">
        <v>264</v>
      </c>
      <c r="B16" s="17">
        <v>46181.708333333336</v>
      </c>
      <c r="C16" s="8" t="s">
        <v>131</v>
      </c>
      <c r="D16" s="8" t="s">
        <v>57</v>
      </c>
      <c r="E16" s="8" t="s">
        <v>146</v>
      </c>
      <c r="F16" s="8" t="s">
        <v>90</v>
      </c>
      <c r="G16" s="8" t="s">
        <v>143</v>
      </c>
      <c r="H16" s="8" t="s">
        <v>265</v>
      </c>
      <c r="I16" s="11">
        <v>309.0</v>
      </c>
      <c r="J16" s="8" t="s">
        <v>25</v>
      </c>
      <c r="K16" s="8" t="b">
        <v>0</v>
      </c>
      <c r="L16" s="8" t="s">
        <v>235</v>
      </c>
      <c r="M16" s="20">
        <v>16.0</v>
      </c>
      <c r="N16" s="17">
        <v>46185.0</v>
      </c>
      <c r="O16" s="17">
        <v>46185.0</v>
      </c>
      <c r="P16" s="9"/>
    </row>
    <row r="17">
      <c r="A17" s="7" t="s">
        <v>266</v>
      </c>
      <c r="B17" s="17">
        <v>46181.708333333336</v>
      </c>
      <c r="C17" s="8" t="s">
        <v>131</v>
      </c>
      <c r="D17" s="8" t="s">
        <v>57</v>
      </c>
      <c r="E17" s="8" t="s">
        <v>130</v>
      </c>
      <c r="F17" s="8" t="s">
        <v>83</v>
      </c>
      <c r="G17" s="8" t="s">
        <v>84</v>
      </c>
      <c r="H17" s="8"/>
      <c r="I17" s="11">
        <v>219.0</v>
      </c>
      <c r="J17" s="8" t="s">
        <v>25</v>
      </c>
      <c r="K17" s="8" t="b">
        <v>0</v>
      </c>
      <c r="L17" s="8" t="s">
        <v>235</v>
      </c>
      <c r="M17" s="20">
        <v>17.0</v>
      </c>
      <c r="N17" s="17">
        <v>46185.0</v>
      </c>
      <c r="O17" s="17">
        <v>46185.0</v>
      </c>
      <c r="P17" s="9"/>
    </row>
    <row r="18">
      <c r="A18" s="7" t="s">
        <v>267</v>
      </c>
      <c r="B18" s="17">
        <v>46181.708333333336</v>
      </c>
      <c r="C18" s="8" t="s">
        <v>131</v>
      </c>
      <c r="D18" s="8" t="s">
        <v>57</v>
      </c>
      <c r="E18" s="8" t="s">
        <v>138</v>
      </c>
      <c r="F18" s="8" t="s">
        <v>87</v>
      </c>
      <c r="G18" s="8" t="s">
        <v>241</v>
      </c>
      <c r="H18" s="8" t="s">
        <v>268</v>
      </c>
      <c r="I18" s="11">
        <v>740.0</v>
      </c>
      <c r="J18" s="8" t="s">
        <v>25</v>
      </c>
      <c r="K18" s="8" t="b">
        <v>0</v>
      </c>
      <c r="L18" s="8" t="s">
        <v>235</v>
      </c>
      <c r="M18" s="20">
        <v>18.0</v>
      </c>
      <c r="N18" s="17">
        <v>46185.0</v>
      </c>
      <c r="O18" s="17">
        <v>46185.0</v>
      </c>
      <c r="P18" s="9"/>
    </row>
    <row r="19">
      <c r="A19" s="7" t="s">
        <v>269</v>
      </c>
      <c r="B19" s="17">
        <v>46182.708333333336</v>
      </c>
      <c r="C19" s="8" t="s">
        <v>131</v>
      </c>
      <c r="D19" s="8" t="s">
        <v>57</v>
      </c>
      <c r="E19" s="8" t="s">
        <v>134</v>
      </c>
      <c r="F19" s="8" t="s">
        <v>87</v>
      </c>
      <c r="G19" s="8" t="s">
        <v>241</v>
      </c>
      <c r="H19" s="8" t="s">
        <v>270</v>
      </c>
      <c r="I19" s="11">
        <v>295.0</v>
      </c>
      <c r="J19" s="8" t="s">
        <v>25</v>
      </c>
      <c r="K19" s="8" t="b">
        <v>0</v>
      </c>
      <c r="L19" s="8" t="s">
        <v>235</v>
      </c>
      <c r="M19" s="20">
        <v>19.0</v>
      </c>
      <c r="N19" s="17">
        <v>46185.0</v>
      </c>
      <c r="O19" s="17">
        <v>46185.0</v>
      </c>
      <c r="P19" s="9"/>
    </row>
    <row r="20">
      <c r="A20" s="7" t="s">
        <v>271</v>
      </c>
      <c r="B20" s="17">
        <v>46182.708333333336</v>
      </c>
      <c r="C20" s="8" t="s">
        <v>131</v>
      </c>
      <c r="D20" s="8" t="s">
        <v>57</v>
      </c>
      <c r="E20" s="8" t="s">
        <v>134</v>
      </c>
      <c r="F20" s="8" t="s">
        <v>87</v>
      </c>
      <c r="G20" s="8" t="s">
        <v>241</v>
      </c>
      <c r="H20" s="8" t="s">
        <v>259</v>
      </c>
      <c r="I20" s="11">
        <v>434.0</v>
      </c>
      <c r="J20" s="8" t="s">
        <v>25</v>
      </c>
      <c r="K20" s="8" t="b">
        <v>0</v>
      </c>
      <c r="L20" s="8" t="s">
        <v>235</v>
      </c>
      <c r="M20" s="20">
        <v>20.0</v>
      </c>
      <c r="N20" s="17">
        <v>46185.0</v>
      </c>
      <c r="O20" s="17">
        <v>46185.0</v>
      </c>
      <c r="P20" s="9"/>
    </row>
    <row r="21" ht="15.75" customHeight="1">
      <c r="A21" s="7" t="s">
        <v>272</v>
      </c>
      <c r="B21" s="17">
        <v>46183.708333333336</v>
      </c>
      <c r="C21" s="8" t="s">
        <v>131</v>
      </c>
      <c r="D21" s="8" t="s">
        <v>57</v>
      </c>
      <c r="E21" s="8" t="s">
        <v>134</v>
      </c>
      <c r="F21" s="8" t="s">
        <v>87</v>
      </c>
      <c r="G21" s="8" t="s">
        <v>241</v>
      </c>
      <c r="H21" s="8" t="s">
        <v>273</v>
      </c>
      <c r="I21" s="11">
        <v>288.0</v>
      </c>
      <c r="J21" s="8" t="s">
        <v>25</v>
      </c>
      <c r="K21" s="8" t="b">
        <v>0</v>
      </c>
      <c r="L21" s="8" t="s">
        <v>235</v>
      </c>
      <c r="M21" s="20">
        <v>21.0</v>
      </c>
      <c r="N21" s="17">
        <v>46185.0</v>
      </c>
      <c r="O21" s="17">
        <v>46185.0</v>
      </c>
      <c r="P21" s="9"/>
    </row>
    <row r="22" ht="15.75" customHeight="1">
      <c r="A22" s="7" t="s">
        <v>274</v>
      </c>
      <c r="B22" s="17">
        <v>46183.708333333336</v>
      </c>
      <c r="C22" s="8" t="s">
        <v>131</v>
      </c>
      <c r="D22" s="8" t="s">
        <v>57</v>
      </c>
      <c r="E22" s="8" t="s">
        <v>130</v>
      </c>
      <c r="F22" s="8" t="s">
        <v>83</v>
      </c>
      <c r="G22" s="8" t="s">
        <v>84</v>
      </c>
      <c r="H22" s="8"/>
      <c r="I22" s="11">
        <v>420.0</v>
      </c>
      <c r="J22" s="8" t="s">
        <v>25</v>
      </c>
      <c r="K22" s="8" t="b">
        <v>0</v>
      </c>
      <c r="L22" s="8" t="s">
        <v>235</v>
      </c>
      <c r="M22" s="20">
        <v>22.0</v>
      </c>
      <c r="N22" s="17">
        <v>46185.0</v>
      </c>
      <c r="O22" s="17">
        <v>46185.0</v>
      </c>
      <c r="P22" s="9"/>
    </row>
    <row r="23" ht="15.75" customHeight="1">
      <c r="A23" s="7" t="s">
        <v>275</v>
      </c>
      <c r="B23" s="17">
        <v>46183.708333333336</v>
      </c>
      <c r="C23" s="8" t="s">
        <v>131</v>
      </c>
      <c r="D23" s="8" t="s">
        <v>57</v>
      </c>
      <c r="E23" s="8" t="s">
        <v>130</v>
      </c>
      <c r="F23" s="8" t="s">
        <v>83</v>
      </c>
      <c r="G23" s="8" t="s">
        <v>84</v>
      </c>
      <c r="H23" s="8"/>
      <c r="I23" s="11">
        <v>1370.0</v>
      </c>
      <c r="J23" s="8" t="s">
        <v>25</v>
      </c>
      <c r="K23" s="8" t="b">
        <v>0</v>
      </c>
      <c r="L23" s="8" t="s">
        <v>235</v>
      </c>
      <c r="M23" s="20">
        <v>23.0</v>
      </c>
      <c r="N23" s="17">
        <v>46185.0</v>
      </c>
      <c r="O23" s="17">
        <v>46185.0</v>
      </c>
      <c r="P23" s="9"/>
    </row>
    <row r="24" ht="15.75" customHeight="1">
      <c r="A24" s="7" t="s">
        <v>276</v>
      </c>
      <c r="B24" s="17">
        <v>46184.708333333336</v>
      </c>
      <c r="C24" s="8" t="s">
        <v>131</v>
      </c>
      <c r="D24" s="8" t="s">
        <v>57</v>
      </c>
      <c r="E24" s="8" t="s">
        <v>146</v>
      </c>
      <c r="F24" s="8" t="s">
        <v>90</v>
      </c>
      <c r="G24" s="8" t="s">
        <v>143</v>
      </c>
      <c r="H24" s="8" t="s">
        <v>277</v>
      </c>
      <c r="I24" s="11">
        <v>103.0</v>
      </c>
      <c r="J24" s="8" t="s">
        <v>25</v>
      </c>
      <c r="K24" s="8" t="b">
        <v>0</v>
      </c>
      <c r="L24" s="8" t="s">
        <v>235</v>
      </c>
      <c r="M24" s="20">
        <v>24.0</v>
      </c>
      <c r="N24" s="17">
        <v>46185.0</v>
      </c>
      <c r="O24" s="17">
        <v>46185.0</v>
      </c>
      <c r="P24" s="9"/>
    </row>
    <row r="25" ht="15.75" customHeight="1">
      <c r="A25" s="7" t="s">
        <v>278</v>
      </c>
      <c r="B25" s="17">
        <v>46184.708333333336</v>
      </c>
      <c r="C25" s="8" t="s">
        <v>131</v>
      </c>
      <c r="D25" s="8" t="s">
        <v>57</v>
      </c>
      <c r="E25" s="8" t="s">
        <v>134</v>
      </c>
      <c r="F25" s="8" t="s">
        <v>87</v>
      </c>
      <c r="G25" s="8" t="s">
        <v>241</v>
      </c>
      <c r="H25" s="8" t="s">
        <v>279</v>
      </c>
      <c r="I25" s="11">
        <v>480.0</v>
      </c>
      <c r="J25" s="8" t="s">
        <v>25</v>
      </c>
      <c r="K25" s="8" t="b">
        <v>0</v>
      </c>
      <c r="L25" s="8" t="s">
        <v>235</v>
      </c>
      <c r="M25" s="20">
        <v>25.0</v>
      </c>
      <c r="N25" s="17">
        <v>46185.0</v>
      </c>
      <c r="O25" s="17">
        <v>46185.0</v>
      </c>
      <c r="P25" s="9"/>
    </row>
    <row r="26" ht="15.75" customHeight="1">
      <c r="A26" s="7" t="s">
        <v>280</v>
      </c>
      <c r="B26" s="17">
        <v>46184.708333333336</v>
      </c>
      <c r="C26" s="8" t="s">
        <v>131</v>
      </c>
      <c r="D26" s="8" t="s">
        <v>57</v>
      </c>
      <c r="E26" s="8" t="s">
        <v>142</v>
      </c>
      <c r="F26" s="8" t="s">
        <v>90</v>
      </c>
      <c r="G26" s="8" t="s">
        <v>143</v>
      </c>
      <c r="H26" s="8"/>
      <c r="I26" s="11">
        <v>3836.0</v>
      </c>
      <c r="J26" s="8" t="s">
        <v>25</v>
      </c>
      <c r="K26" s="8" t="b">
        <v>0</v>
      </c>
      <c r="L26" s="8" t="s">
        <v>235</v>
      </c>
      <c r="M26" s="20">
        <v>26.0</v>
      </c>
      <c r="N26" s="17">
        <v>46185.0</v>
      </c>
      <c r="O26" s="17">
        <v>46185.0</v>
      </c>
      <c r="P26" s="9"/>
    </row>
    <row r="27" ht="15.75" customHeight="1">
      <c r="A27" s="12" t="s">
        <v>281</v>
      </c>
      <c r="B27" s="19">
        <v>46184.708333333336</v>
      </c>
      <c r="C27" s="13" t="s">
        <v>131</v>
      </c>
      <c r="D27" s="13" t="s">
        <v>57</v>
      </c>
      <c r="E27" s="13" t="s">
        <v>163</v>
      </c>
      <c r="F27" s="13" t="s">
        <v>99</v>
      </c>
      <c r="G27" s="13" t="s">
        <v>160</v>
      </c>
      <c r="H27" s="13" t="s">
        <v>282</v>
      </c>
      <c r="I27" s="18">
        <v>400.0</v>
      </c>
      <c r="J27" s="13" t="s">
        <v>25</v>
      </c>
      <c r="K27" s="13" t="b">
        <v>0</v>
      </c>
      <c r="L27" s="13" t="s">
        <v>235</v>
      </c>
      <c r="M27" s="21">
        <v>27.0</v>
      </c>
      <c r="N27" s="19">
        <v>46185.0</v>
      </c>
      <c r="O27" s="19">
        <v>46185.0</v>
      </c>
      <c r="P27" s="14"/>
    </row>
    <row r="28" ht="15.75" customHeight="1">
      <c r="A28" s="22" t="s">
        <v>283</v>
      </c>
      <c r="B28" s="23">
        <v>46185.330969930554</v>
      </c>
      <c r="C28" s="22" t="s">
        <v>131</v>
      </c>
      <c r="D28" s="22" t="s">
        <v>57</v>
      </c>
      <c r="E28" s="22" t="s">
        <v>130</v>
      </c>
      <c r="F28" s="22" t="s">
        <v>83</v>
      </c>
      <c r="G28" s="22" t="s">
        <v>84</v>
      </c>
      <c r="I28" s="24">
        <v>162.0</v>
      </c>
      <c r="J28" s="22" t="s">
        <v>25</v>
      </c>
      <c r="K28" s="22" t="b">
        <v>0</v>
      </c>
      <c r="L28" s="22" t="s">
        <v>284</v>
      </c>
      <c r="N28" s="23">
        <v>46185.33104737269</v>
      </c>
      <c r="O28" s="23">
        <v>46185.33104737269</v>
      </c>
    </row>
    <row r="29" ht="15.75" customHeight="1">
      <c r="A29" s="22" t="s">
        <v>285</v>
      </c>
      <c r="B29" s="23">
        <v>46185.33874730324</v>
      </c>
      <c r="C29" s="22" t="s">
        <v>131</v>
      </c>
      <c r="D29" s="22" t="s">
        <v>57</v>
      </c>
      <c r="E29" s="22" t="s">
        <v>142</v>
      </c>
      <c r="F29" s="22" t="s">
        <v>90</v>
      </c>
      <c r="G29" s="22" t="s">
        <v>91</v>
      </c>
      <c r="I29" s="24">
        <v>103.0</v>
      </c>
      <c r="J29" s="22" t="s">
        <v>25</v>
      </c>
      <c r="K29" s="22" t="b">
        <v>0</v>
      </c>
      <c r="L29" s="22" t="s">
        <v>284</v>
      </c>
      <c r="N29" s="23">
        <v>46185.33888174768</v>
      </c>
      <c r="O29" s="23">
        <v>46185.33888174768</v>
      </c>
    </row>
    <row r="30" ht="15.75" customHeight="1">
      <c r="A30" s="22" t="s">
        <v>286</v>
      </c>
      <c r="B30" s="23">
        <v>46185.344671053244</v>
      </c>
      <c r="C30" s="22" t="s">
        <v>131</v>
      </c>
      <c r="D30" s="22" t="s">
        <v>57</v>
      </c>
      <c r="E30" s="22" t="s">
        <v>130</v>
      </c>
      <c r="F30" s="22" t="s">
        <v>83</v>
      </c>
      <c r="G30" s="22" t="s">
        <v>84</v>
      </c>
      <c r="I30" s="24">
        <v>1.0</v>
      </c>
      <c r="J30" s="22" t="s">
        <v>25</v>
      </c>
      <c r="K30" s="22" t="b">
        <v>0</v>
      </c>
      <c r="L30" s="22" t="s">
        <v>284</v>
      </c>
      <c r="N30" s="23">
        <v>46185.34475200232</v>
      </c>
      <c r="O30" s="23">
        <v>46185.34475200232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8.88"/>
    <col customWidth="1" min="3" max="3" width="42.25"/>
    <col customWidth="1" min="4" max="4" width="13.38"/>
    <col customWidth="1" min="5" max="5" width="17.75"/>
    <col customWidth="1" min="6" max="7" width="16.63"/>
    <col customWidth="1" min="8" max="8" width="11.13"/>
    <col customWidth="1" min="9" max="9" width="46.63"/>
    <col customWidth="1" min="10" max="26" width="8.63"/>
  </cols>
  <sheetData>
    <row r="1">
      <c r="A1" s="4" t="s">
        <v>287</v>
      </c>
      <c r="B1" s="5" t="s">
        <v>288</v>
      </c>
      <c r="C1" s="5" t="s">
        <v>289</v>
      </c>
      <c r="D1" s="5" t="s">
        <v>290</v>
      </c>
      <c r="E1" s="5" t="s">
        <v>291</v>
      </c>
      <c r="F1" s="5" t="s">
        <v>292</v>
      </c>
      <c r="G1" s="5" t="s">
        <v>293</v>
      </c>
      <c r="H1" s="5" t="s">
        <v>294</v>
      </c>
      <c r="I1" s="6" t="s">
        <v>23</v>
      </c>
    </row>
    <row r="2">
      <c r="A2" s="7" t="s">
        <v>295</v>
      </c>
      <c r="B2" s="8" t="s">
        <v>296</v>
      </c>
      <c r="C2" s="8" t="s">
        <v>297</v>
      </c>
      <c r="D2" s="8" t="s">
        <v>298</v>
      </c>
      <c r="E2" s="8" t="s">
        <v>57</v>
      </c>
      <c r="F2" s="11">
        <v>1580.0</v>
      </c>
      <c r="G2" s="11">
        <v>1580.0</v>
      </c>
      <c r="H2" s="8" t="s">
        <v>299</v>
      </c>
      <c r="I2" s="9" t="s">
        <v>300</v>
      </c>
    </row>
    <row r="3">
      <c r="A3" s="7" t="s">
        <v>295</v>
      </c>
      <c r="B3" s="8" t="s">
        <v>301</v>
      </c>
      <c r="C3" s="8" t="s">
        <v>302</v>
      </c>
      <c r="D3" s="8" t="s">
        <v>110</v>
      </c>
      <c r="E3" s="8" t="s">
        <v>204</v>
      </c>
      <c r="F3" s="11">
        <v>30000.0</v>
      </c>
      <c r="G3" s="11"/>
      <c r="H3" s="8" t="s">
        <v>303</v>
      </c>
      <c r="I3" s="9" t="s">
        <v>304</v>
      </c>
    </row>
    <row r="4">
      <c r="A4" s="7" t="s">
        <v>295</v>
      </c>
      <c r="B4" s="8" t="s">
        <v>305</v>
      </c>
      <c r="C4" s="8" t="s">
        <v>306</v>
      </c>
      <c r="D4" s="8" t="s">
        <v>110</v>
      </c>
      <c r="E4" s="8" t="s">
        <v>112</v>
      </c>
      <c r="F4" s="11">
        <v>10000.0</v>
      </c>
      <c r="G4" s="11"/>
      <c r="H4" s="8" t="s">
        <v>303</v>
      </c>
      <c r="I4" s="9" t="s">
        <v>307</v>
      </c>
    </row>
    <row r="5">
      <c r="A5" s="7" t="s">
        <v>295</v>
      </c>
      <c r="B5" s="8" t="s">
        <v>308</v>
      </c>
      <c r="C5" s="8" t="s">
        <v>309</v>
      </c>
      <c r="D5" s="8" t="s">
        <v>63</v>
      </c>
      <c r="E5" s="8" t="s">
        <v>118</v>
      </c>
      <c r="F5" s="11">
        <v>0.0</v>
      </c>
      <c r="G5" s="11"/>
      <c r="H5" s="8" t="s">
        <v>303</v>
      </c>
      <c r="I5" s="9" t="s">
        <v>310</v>
      </c>
    </row>
    <row r="6">
      <c r="A6" s="7" t="s">
        <v>295</v>
      </c>
      <c r="B6" s="8" t="s">
        <v>311</v>
      </c>
      <c r="C6" s="8" t="s">
        <v>312</v>
      </c>
      <c r="D6" s="8" t="s">
        <v>313</v>
      </c>
      <c r="E6" s="8" t="s">
        <v>213</v>
      </c>
      <c r="F6" s="11">
        <v>10000.0</v>
      </c>
      <c r="G6" s="11"/>
      <c r="H6" s="8" t="s">
        <v>303</v>
      </c>
      <c r="I6" s="9" t="s">
        <v>314</v>
      </c>
    </row>
    <row r="7">
      <c r="A7" s="7" t="s">
        <v>295</v>
      </c>
      <c r="B7" s="8" t="s">
        <v>315</v>
      </c>
      <c r="C7" s="8" t="s">
        <v>316</v>
      </c>
      <c r="D7" s="8" t="s">
        <v>313</v>
      </c>
      <c r="E7" s="8" t="s">
        <v>216</v>
      </c>
      <c r="F7" s="11">
        <v>15000.0</v>
      </c>
      <c r="G7" s="11"/>
      <c r="H7" s="8" t="s">
        <v>303</v>
      </c>
      <c r="I7" s="9" t="s">
        <v>186</v>
      </c>
    </row>
    <row r="8">
      <c r="A8" s="7" t="s">
        <v>295</v>
      </c>
      <c r="B8" s="8" t="s">
        <v>317</v>
      </c>
      <c r="C8" s="8" t="s">
        <v>318</v>
      </c>
      <c r="D8" s="8" t="s">
        <v>313</v>
      </c>
      <c r="E8" s="8" t="s">
        <v>219</v>
      </c>
      <c r="F8" s="11">
        <v>10000.0</v>
      </c>
      <c r="G8" s="11"/>
      <c r="H8" s="8" t="s">
        <v>303</v>
      </c>
      <c r="I8" s="9" t="s">
        <v>319</v>
      </c>
    </row>
    <row r="9">
      <c r="A9" s="12" t="s">
        <v>295</v>
      </c>
      <c r="B9" s="13" t="s">
        <v>320</v>
      </c>
      <c r="C9" s="13" t="s">
        <v>321</v>
      </c>
      <c r="D9" s="13" t="s">
        <v>313</v>
      </c>
      <c r="E9" s="13" t="s">
        <v>222</v>
      </c>
      <c r="F9" s="18">
        <v>0.0</v>
      </c>
      <c r="G9" s="18"/>
      <c r="H9" s="13" t="s">
        <v>322</v>
      </c>
      <c r="I9" s="14" t="s">
        <v>323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31.13"/>
    <col customWidth="1" min="3" max="3" width="21.13"/>
    <col customWidth="1" min="4" max="4" width="11.13"/>
    <col customWidth="1" min="5" max="5" width="46.63"/>
    <col customWidth="1" min="6" max="26" width="8.63"/>
  </cols>
  <sheetData>
    <row r="1">
      <c r="A1" s="4" t="s">
        <v>226</v>
      </c>
      <c r="B1" s="5" t="s">
        <v>324</v>
      </c>
      <c r="C1" s="5" t="s">
        <v>127</v>
      </c>
      <c r="D1" s="5" t="s">
        <v>325</v>
      </c>
      <c r="E1" s="6" t="s">
        <v>23</v>
      </c>
    </row>
    <row r="2">
      <c r="A2" s="7" t="s">
        <v>241</v>
      </c>
      <c r="B2" s="8" t="s">
        <v>326</v>
      </c>
      <c r="C2" s="8" t="s">
        <v>134</v>
      </c>
      <c r="D2" s="8">
        <v>0.9</v>
      </c>
      <c r="E2" s="9" t="s">
        <v>327</v>
      </c>
    </row>
    <row r="3">
      <c r="A3" s="7" t="s">
        <v>241</v>
      </c>
      <c r="B3" s="8" t="s">
        <v>328</v>
      </c>
      <c r="C3" s="8" t="s">
        <v>138</v>
      </c>
      <c r="D3" s="8">
        <v>0.95</v>
      </c>
      <c r="E3" s="9" t="s">
        <v>329</v>
      </c>
    </row>
    <row r="4">
      <c r="A4" s="7" t="s">
        <v>241</v>
      </c>
      <c r="B4" s="8"/>
      <c r="C4" s="8" t="s">
        <v>134</v>
      </c>
      <c r="D4" s="8">
        <v>0.5</v>
      </c>
      <c r="E4" s="9" t="s">
        <v>330</v>
      </c>
    </row>
    <row r="5">
      <c r="A5" s="7" t="s">
        <v>143</v>
      </c>
      <c r="B5" s="8" t="s">
        <v>331</v>
      </c>
      <c r="C5" s="8" t="s">
        <v>146</v>
      </c>
      <c r="D5" s="8">
        <v>0.95</v>
      </c>
      <c r="E5" s="9" t="s">
        <v>332</v>
      </c>
    </row>
    <row r="6">
      <c r="A6" s="7" t="s">
        <v>143</v>
      </c>
      <c r="B6" s="8"/>
      <c r="C6" s="8" t="s">
        <v>142</v>
      </c>
      <c r="D6" s="8">
        <v>0.85</v>
      </c>
      <c r="E6" s="9" t="s">
        <v>333</v>
      </c>
    </row>
    <row r="7">
      <c r="A7" s="7" t="s">
        <v>94</v>
      </c>
      <c r="B7" s="8" t="s">
        <v>334</v>
      </c>
      <c r="C7" s="8" t="s">
        <v>142</v>
      </c>
      <c r="D7" s="8">
        <v>0.95</v>
      </c>
      <c r="E7" s="9" t="s">
        <v>335</v>
      </c>
    </row>
    <row r="8">
      <c r="A8" s="7" t="s">
        <v>94</v>
      </c>
      <c r="B8" s="8"/>
      <c r="C8" s="8" t="s">
        <v>149</v>
      </c>
      <c r="D8" s="8">
        <v>0.8</v>
      </c>
      <c r="E8" s="9" t="s">
        <v>336</v>
      </c>
    </row>
    <row r="9">
      <c r="A9" s="7" t="s">
        <v>84</v>
      </c>
      <c r="B9" s="8"/>
      <c r="C9" s="8" t="s">
        <v>130</v>
      </c>
      <c r="D9" s="8">
        <v>0.95</v>
      </c>
      <c r="E9" s="9" t="s">
        <v>337</v>
      </c>
    </row>
    <row r="10">
      <c r="A10" s="7" t="s">
        <v>245</v>
      </c>
      <c r="B10" s="8"/>
      <c r="C10" s="8" t="s">
        <v>96</v>
      </c>
      <c r="D10" s="8">
        <v>0.85</v>
      </c>
      <c r="E10" s="9" t="s">
        <v>338</v>
      </c>
    </row>
    <row r="11">
      <c r="A11" s="7" t="s">
        <v>160</v>
      </c>
      <c r="B11" s="8" t="s">
        <v>339</v>
      </c>
      <c r="C11" s="8" t="s">
        <v>163</v>
      </c>
      <c r="D11" s="8">
        <v>0.9</v>
      </c>
      <c r="E11" s="9" t="s">
        <v>340</v>
      </c>
    </row>
    <row r="12">
      <c r="A12" s="7" t="s">
        <v>160</v>
      </c>
      <c r="B12" s="8"/>
      <c r="C12" s="8" t="s">
        <v>99</v>
      </c>
      <c r="D12" s="8">
        <v>0.85</v>
      </c>
      <c r="E12" s="9" t="s">
        <v>341</v>
      </c>
    </row>
    <row r="13">
      <c r="A13" s="12" t="s">
        <v>102</v>
      </c>
      <c r="B13" s="13"/>
      <c r="C13" s="13" t="s">
        <v>101</v>
      </c>
      <c r="D13" s="13">
        <v>0.9</v>
      </c>
      <c r="E13" s="14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28.88"/>
    <col customWidth="1" min="4" max="26" width="8.63"/>
  </cols>
  <sheetData>
    <row r="1">
      <c r="A1" s="25" t="s">
        <v>342</v>
      </c>
    </row>
    <row r="3">
      <c r="A3" s="26" t="s">
        <v>343</v>
      </c>
      <c r="B3" s="26" t="s">
        <v>344</v>
      </c>
      <c r="C3" s="26" t="s">
        <v>345</v>
      </c>
    </row>
    <row r="4">
      <c r="A4" s="3" t="s">
        <v>346</v>
      </c>
      <c r="B4" s="27">
        <f>Settings!B3</f>
        <v>46185</v>
      </c>
      <c r="C4" s="3" t="s">
        <v>347</v>
      </c>
    </row>
    <row r="5">
      <c r="A5" s="3" t="s">
        <v>348</v>
      </c>
      <c r="B5" s="28">
        <f>SUMIF(Accounts!E:E,TRUE,Accounts!D:D)</f>
        <v>1417</v>
      </c>
      <c r="C5" s="3" t="s">
        <v>349</v>
      </c>
    </row>
    <row r="6">
      <c r="A6" s="3" t="s">
        <v>350</v>
      </c>
      <c r="B6" s="28">
        <f>SUMIFS(Accounts!D:D,Accounts!C:C,"investment")</f>
        <v>153000</v>
      </c>
      <c r="C6" s="3" t="s">
        <v>351</v>
      </c>
    </row>
    <row r="7">
      <c r="A7" s="3" t="s">
        <v>352</v>
      </c>
      <c r="B7" s="28">
        <f>SUMIFS(Transactions!I:I,Transactions!C:C,"expense",Transactions!B:B,"&gt;="&amp;Settings!B9,Transactions!B:B,"&lt;"&amp;Settings!B10)</f>
        <v>31985.79</v>
      </c>
      <c r="C7" s="3" t="s">
        <v>353</v>
      </c>
    </row>
    <row r="8">
      <c r="A8" s="3" t="s">
        <v>354</v>
      </c>
      <c r="B8" s="28">
        <f>MAX(1,ROUNDUP(Settings!B10-Settings!B3,0))</f>
        <v>3</v>
      </c>
      <c r="C8" s="3" t="s">
        <v>355</v>
      </c>
    </row>
    <row r="9">
      <c r="A9" s="3" t="s">
        <v>356</v>
      </c>
      <c r="B9" s="28">
        <f>B5/B8</f>
        <v>472.3333333</v>
      </c>
      <c r="C9" s="3" t="s">
        <v>357</v>
      </c>
    </row>
    <row r="10">
      <c r="A10" s="3" t="s">
        <v>358</v>
      </c>
      <c r="B10" s="28">
        <f>COUNTA(Transactions!A2:A1000)</f>
        <v>29</v>
      </c>
      <c r="C10" s="3" t="s">
        <v>359</v>
      </c>
    </row>
    <row r="11">
      <c r="A11" s="3" t="s">
        <v>360</v>
      </c>
      <c r="B11" s="3">
        <f>SUMPRODUCT(--(Transactions!K2:K1000=TRUE))</f>
        <v>2</v>
      </c>
      <c r="C11" s="3" t="s">
        <v>361</v>
      </c>
    </row>
    <row r="12">
      <c r="A12" s="3" t="s">
        <v>362</v>
      </c>
      <c r="B12" s="3">
        <f>COUNTIF(MonthlyReview!H:H,"open")</f>
        <v>6</v>
      </c>
      <c r="C12" s="3" t="s">
        <v>363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23.38"/>
    <col customWidth="1" min="6" max="26" width="8.63"/>
  </cols>
  <sheetData>
    <row r="1">
      <c r="A1" s="26" t="s">
        <v>364</v>
      </c>
      <c r="B1" s="26" t="s">
        <v>365</v>
      </c>
      <c r="C1" s="26" t="s">
        <v>366</v>
      </c>
      <c r="D1" s="26" t="s">
        <v>294</v>
      </c>
      <c r="E1" s="26" t="s">
        <v>23</v>
      </c>
    </row>
    <row r="2">
      <c r="A2" s="3" t="s">
        <v>367</v>
      </c>
      <c r="B2" s="3">
        <f>COUNTA(Transactions!A2:A1000)</f>
        <v>29</v>
      </c>
      <c r="C2" s="3">
        <v>26.0</v>
      </c>
      <c r="D2" s="3" t="str">
        <f>IF(B2=C2,"OK","CHECK")</f>
        <v>CHECK</v>
      </c>
      <c r="E2" s="3" t="s">
        <v>368</v>
      </c>
    </row>
    <row r="3">
      <c r="A3" s="3" t="s">
        <v>369</v>
      </c>
      <c r="B3" s="28">
        <f>SUM(Transactions!I2:I1000)</f>
        <v>31985.79</v>
      </c>
      <c r="C3" s="28">
        <v>31719.79</v>
      </c>
      <c r="D3" s="3" t="str">
        <f>IF(ROUND(B3,2)=ROUND(C3,2),"OK","CHECK")</f>
        <v>CHECK</v>
      </c>
      <c r="E3" s="3" t="s">
        <v>370</v>
      </c>
    </row>
    <row r="4">
      <c r="A4" s="3" t="s">
        <v>371</v>
      </c>
      <c r="B4" s="28">
        <f>COUNTBLANK(Transactions!A2:A1000)-COUNTBLANK(Transactions!B2:B1000)</f>
        <v>0</v>
      </c>
      <c r="C4" s="28">
        <v>0.0</v>
      </c>
      <c r="D4" s="3" t="str">
        <f t="shared" ref="D4:D7" si="1">IF(B4=C4,"OK","CHECK")</f>
        <v>OK</v>
      </c>
      <c r="E4" s="3" t="s">
        <v>372</v>
      </c>
    </row>
    <row r="5">
      <c r="A5" s="3" t="s">
        <v>373</v>
      </c>
      <c r="B5" s="28">
        <f>SUMIF(Accounts!A:A,"vtb_main",Accounts!D:D)</f>
        <v>1417</v>
      </c>
      <c r="C5" s="28">
        <v>1580.0</v>
      </c>
      <c r="D5" s="3" t="str">
        <f t="shared" si="1"/>
        <v>CHECK</v>
      </c>
      <c r="E5" s="3" t="s">
        <v>374</v>
      </c>
    </row>
    <row r="6">
      <c r="A6" s="3" t="s">
        <v>375</v>
      </c>
      <c r="B6" s="28">
        <f>SUMIF(Accounts!A:A,"brokerage",Accounts!D:D)</f>
        <v>153000</v>
      </c>
      <c r="C6" s="28">
        <v>153000.0</v>
      </c>
      <c r="D6" s="3" t="str">
        <f t="shared" si="1"/>
        <v>OK</v>
      </c>
      <c r="E6" s="3" t="s">
        <v>376</v>
      </c>
    </row>
    <row r="7">
      <c r="A7" s="3" t="s">
        <v>377</v>
      </c>
      <c r="B7" s="3">
        <f>COUNTIF(MonthlyReview!H:H,"open")</f>
        <v>6</v>
      </c>
      <c r="C7" s="3">
        <v>6.0</v>
      </c>
      <c r="D7" s="3" t="str">
        <f t="shared" si="1"/>
        <v>OK</v>
      </c>
      <c r="E7" s="3" t="s">
        <v>378</v>
      </c>
    </row>
    <row r="8">
      <c r="A8" s="3" t="s">
        <v>379</v>
      </c>
      <c r="B8" s="3">
        <f>SUMPRODUCT(--(Transactions!K2:K1000=TRUE))</f>
        <v>2</v>
      </c>
      <c r="D8" s="3" t="s">
        <v>380</v>
      </c>
      <c r="E8" s="3" t="s">
        <v>381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